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  <Override PartName="/xl/drawings/charts/chart15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16.xml" ContentType="application/vnd.openxmlformats-officedocument.drawingml.chart+xml"/>
  <Override PartName="/xl/drawings/charts/chart17.xml" ContentType="application/vnd.openxmlformats-officedocument.drawingml.chart+xml"/>
  <Override PartName="/xl/drawings/charts/chart18.xml" ContentType="application/vnd.openxmlformats-officedocument.drawingml.chart+xml"/>
  <Override PartName="/xl/drawings/charts/chart19.xml" ContentType="application/vnd.openxmlformats-officedocument.drawingml.chart+xml"/>
  <Override PartName="/xl/drawings/charts/chart20.xml" ContentType="application/vnd.openxmlformats-officedocument.drawingml.chart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charts/chart21.xml" ContentType="application/vnd.openxmlformats-officedocument.drawingml.chart+xml"/>
  <Override PartName="/xl/drawings/charts/chart22.xml" ContentType="application/vnd.openxmlformats-officedocument.drawingml.chart+xml"/>
  <Override PartName="/xl/drawings/charts/chart23.xml" ContentType="application/vnd.openxmlformats-officedocument.drawingml.chart+xml"/>
  <Override PartName="/xl/drawings/charts/chart24.xml" ContentType="application/vnd.openxmlformats-officedocument.drawingml.chart+xml"/>
  <Override PartName="/xl/drawings/charts/chart25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7e08b0267241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6f39a8321b04fc2"/>
    <x:sheet xmlns:r="http://schemas.openxmlformats.org/officeDocument/2006/relationships" name="Offered Load" sheetId="2" r:id="R184f4f0d78884226"/>
    <x:sheet xmlns:r="http://schemas.openxmlformats.org/officeDocument/2006/relationships" name="MRR" sheetId="3" r:id="R37d91f67c65a4c1e"/>
    <x:sheet xmlns:r="http://schemas.openxmlformats.org/officeDocument/2006/relationships" name="Chunked Prefill" sheetId="4" r:id="R24fc41c167c6455a"/>
    <x:sheet xmlns:r="http://schemas.openxmlformats.org/officeDocument/2006/relationships" name="Radix Cache" sheetId="5" r:id="R9b021205ec944ed6"/>
    <x:sheet xmlns:r="http://schemas.openxmlformats.org/officeDocument/2006/relationships" name="Prefix Reuse" sheetId="6" r:id="R6c8e456e52ef4b27"/>
    <x:sheet xmlns:r="http://schemas.openxmlformats.org/officeDocument/2006/relationships" name="Raw Data" sheetId="7" r:id="Rffa7a2279a7e41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0"/>
    <x:numFmt numFmtId="201" formatCode="0.000%"/>
    <x:numFmt numFmtId="202" formatCode="0.000"/>
    <x:numFmt numFmtId="203" formatCode="0.0%"/>
    <x:numFmt numFmtId="204" formatCode="#,##0"/>
    <x:numFmt numFmtId="205" formatCode="#,##0.0"/>
  </x:numFmts>
  <x:fonts count="8">
    <x:font>
      <x:sz val="11"/>
      <x:name val="Carlito"/>
    </x:font>
    <x:font>
      <x:b/>
      <x:sz val="11"/>
      <x:color rgb="FF202124"/>
      <x:name val="Carlito"/>
    </x:font>
    <x:font>
      <x:sz val="11"/>
      <x:color rgb="FF202124"/>
      <x:name val="Carlito"/>
    </x:font>
    <x:font>
      <x:b/>
      <x:sz val="16"/>
      <x:color rgb="FFFFFFFF"/>
      <x:name val="Carlito"/>
    </x:font>
    <x:font>
      <x:i/>
      <x:sz val="11"/>
      <x:color rgb="FF5F6368"/>
      <x:name val="Carlito"/>
    </x:font>
    <x:font>
      <x:b/>
      <x:sz val="17"/>
      <x:color rgb="FFFFFFFF"/>
      <x:name val="Carlito"/>
    </x:font>
    <x:font>
      <x:b/>
      <x:sz val="11"/>
      <x:name val="Carlito"/>
    </x:font>
    <x:font>
      <x:sz val="11"/>
      <x:color rgb="FF5F636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C6DAF7"/>
      </x:patternFill>
    </x:fill>
    <x:fill>
      <x:patternFill patternType="solid">
        <x:fgColor rgb="FF1F4E78"/>
      </x:patternFill>
    </x:fill>
  </x:fills>
  <x:borders count="13">
    <x:border/>
    <x:border>
      <x:left style="thin">
        <x:color rgb="FFDADCE0"/>
      </x:left>
      <x:right style="thin">
        <x:color rgb="FFDADCE0"/>
      </x:right>
      <x:top style="thin">
        <x:color rgb="FFDADCE0"/>
      </x:top>
      <x:bottom style="thin">
        <x:color rgb="FFDADCE0"/>
      </x:bottom>
    </x:border>
    <x:border>
      <x:left style="thin">
        <x:color rgb="FFDADCE0"/>
      </x:left>
      <x:top style="thin">
        <x:color rgb="FFDADCE0"/>
      </x:top>
      <x:bottom style="thin">
        <x:color rgb="FFDADCE0"/>
      </x:bottom>
    </x:border>
    <x:border>
      <x:top style="thin">
        <x:color rgb="FFDADCE0"/>
      </x:top>
      <x:bottom style="thin">
        <x:color rgb="FFDADCE0"/>
      </x:bottom>
    </x:border>
    <x:border>
      <x:right style="thin">
        <x:color rgb="FFDADCE0"/>
      </x:right>
      <x:top style="thin">
        <x:color rgb="FFDADCE0"/>
      </x:top>
      <x:bottom style="thin">
        <x:color rgb="FFDADCE0"/>
      </x:bottom>
    </x:border>
    <x:border>
      <x:left style="thin">
        <x:color rgb="FFDADCE0"/>
      </x:left>
      <x:top style="thin">
        <x:color rgb="FFDADCE0"/>
      </x:top>
    </x:border>
    <x:border>
      <x:top style="thin">
        <x:color rgb="FFDADCE0"/>
      </x:top>
    </x:border>
    <x:border>
      <x:right style="thin">
        <x:color rgb="FFDADCE0"/>
      </x:right>
      <x:top style="thin">
        <x:color rgb="FFDADCE0"/>
      </x:top>
    </x:border>
    <x:border>
      <x:left style="thin">
        <x:color rgb="FFDADCE0"/>
      </x:left>
    </x:border>
    <x:border>
      <x:right style="thin">
        <x:color rgb="FFDADCE0"/>
      </x:right>
    </x:border>
    <x:border>
      <x:left style="thin">
        <x:color rgb="FFDADCE0"/>
      </x:left>
      <x:bottom style="thin">
        <x:color rgb="FFDADCE0"/>
      </x:bottom>
    </x:border>
    <x:border>
      <x:bottom style="thin">
        <x:color rgb="FFDADCE0"/>
      </x:bottom>
    </x:border>
    <x:border>
      <x:right style="thin">
        <x:color rgb="FFDADCE0"/>
      </x:right>
      <x:bottom style="thin">
        <x:color rgb="FFDADCE0"/>
      </x:bottom>
    </x:border>
  </x:borders>
  <x:cellStyleXfs count="1">
    <x:xf numFmtId="0" fontId="0" fillId="0" borderId="0"/>
  </x:cellStyleXfs>
  <x:cellXfs count="9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1" xfId="0" applyNumberFormat="1" applyFont="1" applyFill="1" applyBorder="1"/>
    <x:xf numFmtId="201" fontId="2" fillId="0" borderId="1" xfId="0" applyNumberFormat="1" applyFont="1" applyFill="1" applyBorder="1"/>
    <x:xf numFmtId="202" fontId="2" fillId="0" borderId="1" xfId="0" applyNumberFormat="1" applyFont="1" applyFill="1" applyBorder="1"/>
    <x:xf numFmtId="203" fontId="2" fillId="0" borderId="1" xfId="0" applyNumberFormat="1" applyFont="1" applyFill="1" applyBorder="1"/>
    <x:xf numFmtId="204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202" fontId="2" fillId="0" borderId="1" xfId="0" applyNumberFormat="1" applyFont="1" applyFill="1" applyBorder="1" applyAlignment="1">
      <x:alignment wrapText="1"/>
    </x:xf>
    <x:xf numFmtId="203" fontId="2" fillId="0" borderId="1" xfId="0" applyNumberFormat="1" applyFont="1" applyFill="1" applyBorder="1" applyAlignment="1">
      <x:alignment wrapText="1"/>
    </x:xf>
    <x:xf numFmtId="204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horizontal="center" vertical="center"/>
    </x:xf>
    <x:xf numFmtId="205" fontId="2" fillId="0" borderId="1" xfId="0" applyNumberFormat="1" applyFont="1" applyFill="1" applyBorder="1" applyAlignment="1">
      <x:alignment vertical="center"/>
    </x:xf>
    <x:xf numFmtId="203" fontId="2" fillId="0" borderId="1" xfId="0" applyNumberFormat="1" applyFont="1" applyFill="1" applyBorder="1" applyAlignment="1">
      <x:alignment vertical="center"/>
    </x:xf>
    <x:xf numFmtId="204" fontId="2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6" fillId="2" borderId="2" xfId="0" applyNumberFormat="1" applyFont="1" applyFill="1" applyBorder="1"/>
    <x:xf numFmtId="0" fontId="6" fillId="2" borderId="3" xfId="0" applyNumberFormat="1" applyFont="1" applyFill="1" applyBorder="1"/>
    <x:xf numFmtId="0" fontId="6" fillId="2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0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7" xfId="0" applyNumberFormat="1" applyFont="1" applyFill="1" applyBorder="1"/>
    <x:xf numFmtId="0" fontId="7" fillId="0" borderId="8" xfId="0" applyNumberFormat="1" applyFont="1" applyFill="1" applyBorder="1"/>
    <x:xf numFmtId="0" fontId="7" fillId="0" borderId="9" xfId="0" applyNumberFormat="1" applyFont="1" applyFill="1" applyBorder="1"/>
    <x:xf numFmtId="0" fontId="7" fillId="0" borderId="10" xfId="0" applyNumberFormat="1" applyFont="1" applyFill="1" applyBorder="1"/>
    <x:xf numFmtId="0" fontId="7" fillId="0" borderId="11" xfId="0" applyNumberFormat="1" applyFont="1" applyFill="1" applyBorder="1"/>
    <x:xf numFmtId="0" fontId="7" fillId="0" borderId="12" xfId="0" applyNumberFormat="1" applyFont="1" applyFill="1" applyBorder="1"/>
    <x:xf numFmtId="0" fontId="7" fillId="0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wrapText="1"/>
    </x:xf>
    <x:xf numFmtId="0" fontId="7" fillId="0" borderId="11" xfId="0" applyNumberFormat="1" applyFont="1" applyFill="1" applyBorder="1" applyAlignment="1">
      <x:alignment wrapText="1"/>
    </x:xf>
    <x:xf numFmtId="0" fontId="7" fillId="0" borderId="12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7" fillId="0" borderId="10" xfId="0" applyNumberFormat="1" applyFont="1" applyFill="1" applyBorder="1" applyAlignment="1">
      <x:alignment vertical="top" wrapText="1"/>
    </x:xf>
    <x:xf numFmtId="0" fontId="7" fillId="0" borderId="11" xfId="0" applyNumberFormat="1" applyFont="1" applyFill="1" applyBorder="1" applyAlignment="1">
      <x:alignment vertical="top" wrapText="1"/>
    </x:xf>
    <x:xf numFmtId="0" fontId="7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color rgb="FFA50E0E"/>
      </x:font>
      <x:fill>
        <x:patternFill patternType="solid">
          <x:bgColor rgb="FFFCE8E6"/>
        </x:patternFill>
      </x:fill>
    </x:dxf>
    <x:dxf>
      <x:font>
        <x:color rgb="FFA50E0E"/>
      </x:font>
      <x:fill>
        <x:patternFill patternType="solid">
          <x:bgColor rgb="FFFCE8E6"/>
        </x:patternFill>
      </x:fill>
    </x:dxf>
    <x:dxf>
      <x:font>
        <x:color rgb="FFA50E0E"/>
      </x:font>
      <x:fill>
        <x:patternFill patternType="solid">
          <x:bgColor rgb="FFFCE8E6"/>
        </x:patternFill>
      </x:fill>
    </x:dxf>
    <x:dxf>
      <x:font>
        <x:color rgb="FFA50E0E"/>
      </x:font>
      <x:fill>
        <x:patternFill patternType="solid">
          <x:bgColor rgb="FFFCE8E6"/>
        </x:patternFill>
      </x:fill>
    </x:dxf>
    <x:dxf>
      <x:font>
        <x:color rgb="FFA50E0E"/>
      </x:font>
      <x:fill>
        <x:patternFill patternType="solid">
          <x:bgColor rgb="FFFCE8E6"/>
        </x:patternFill>
      </x:fill>
    </x:dxf>
    <x:dxf>
      <x:font>
        <x:color rgb="FFA50E0E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f5781fa6d441b7" /><Relationship Type="http://schemas.openxmlformats.org/officeDocument/2006/relationships/theme" Target="/xl/theme/theme1.xml" Id="R3102f9212c4e480a" /><Relationship Type="http://schemas.microsoft.com/office/2022/11/relationships/FeaturePropertyBag" Target="/xl/featurePropertyBag/featurePropertyBag.xml" Id="Rb0fedd6f99d44958" /><Relationship Type="http://schemas.openxmlformats.org/officeDocument/2006/relationships/sharedStrings" Target="/xl/sharedStrings.xml" Id="R1f79e6222c3c48b9" /><Relationship Type="http://schemas.openxmlformats.org/officeDocument/2006/relationships/worksheet" Target="/xl/worksheets/sheet1.xml" Id="Ra6f39a8321b04fc2" /><Relationship Type="http://schemas.openxmlformats.org/officeDocument/2006/relationships/worksheet" Target="/xl/worksheets/sheet2.xml" Id="R184f4f0d78884226" /><Relationship Type="http://schemas.openxmlformats.org/officeDocument/2006/relationships/worksheet" Target="/xl/worksheets/sheet3.xml" Id="R37d91f67c65a4c1e" /><Relationship Type="http://schemas.openxmlformats.org/officeDocument/2006/relationships/worksheet" Target="/xl/worksheets/sheet4.xml" Id="R24fc41c167c6455a" /><Relationship Type="http://schemas.openxmlformats.org/officeDocument/2006/relationships/worksheet" Target="/xl/worksheets/sheet5.xml" Id="R9b021205ec944ed6" /><Relationship Type="http://schemas.openxmlformats.org/officeDocument/2006/relationships/worksheet" Target="/xl/worksheets/sheet6.xml" Id="R6c8e456e52ef4b27" /><Relationship Type="http://schemas.openxmlformats.org/officeDocument/2006/relationships/worksheet" Target="/xl/worksheets/sheet7.xml" Id="Rffa7a2279a7e418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40a0588b8554a6f" /><Relationship Type="http://schemas.openxmlformats.org/officeDocument/2006/relationships/chart" Target="/xl/drawings/charts/chart2.xml" Id="R66fadfd5669f4406" /><Relationship Type="http://schemas.openxmlformats.org/officeDocument/2006/relationships/chart" Target="/xl/drawings/charts/chart3.xml" Id="R50b37e152fc74569" /><Relationship Type="http://schemas.openxmlformats.org/officeDocument/2006/relationships/chart" Target="/xl/drawings/charts/chart4.xml" Id="Rbe8239f00e404069" /><Relationship Type="http://schemas.openxmlformats.org/officeDocument/2006/relationships/chart" Target="/xl/drawings/charts/chart5.xml" Id="R61e7a19568fd49c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a4181b5e1bb34b0b" /><Relationship Type="http://schemas.openxmlformats.org/officeDocument/2006/relationships/chart" Target="/xl/drawings/charts/chart7.xml" Id="R611b036c34bc43da" /><Relationship Type="http://schemas.openxmlformats.org/officeDocument/2006/relationships/chart" Target="/xl/drawings/charts/chart8.xml" Id="Ree7ac69a11394f6a" /><Relationship Type="http://schemas.openxmlformats.org/officeDocument/2006/relationships/chart" Target="/xl/drawings/charts/chart9.xml" Id="R0bd4773782c54a33" /><Relationship Type="http://schemas.openxmlformats.org/officeDocument/2006/relationships/chart" Target="/xl/drawings/charts/chart10.xml" Id="Rb948b6cfd5d6469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11.xml" Id="R08dbdf3d05a9424c" /><Relationship Type="http://schemas.openxmlformats.org/officeDocument/2006/relationships/chart" Target="/xl/drawings/charts/chart12.xml" Id="R40fedf0ccdd948de" /><Relationship Type="http://schemas.openxmlformats.org/officeDocument/2006/relationships/chart" Target="/xl/drawings/charts/chart13.xml" Id="R8d65361c5468444c" /><Relationship Type="http://schemas.openxmlformats.org/officeDocument/2006/relationships/chart" Target="/xl/drawings/charts/chart14.xml" Id="Rfd5691145db84d5b" /><Relationship Type="http://schemas.openxmlformats.org/officeDocument/2006/relationships/chart" Target="/xl/drawings/charts/chart15.xml" Id="Rcad2a92dc9c64889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16.xml" Id="R0fcc67df0d9c490c" /><Relationship Type="http://schemas.openxmlformats.org/officeDocument/2006/relationships/chart" Target="/xl/drawings/charts/chart17.xml" Id="Rb5fa1e7331aa453a" /><Relationship Type="http://schemas.openxmlformats.org/officeDocument/2006/relationships/chart" Target="/xl/drawings/charts/chart18.xml" Id="R046e4f5318c14998" /><Relationship Type="http://schemas.openxmlformats.org/officeDocument/2006/relationships/chart" Target="/xl/drawings/charts/chart19.xml" Id="Ra841132420e94932" /><Relationship Type="http://schemas.openxmlformats.org/officeDocument/2006/relationships/chart" Target="/xl/drawings/charts/chart20.xml" Id="R6b2fd58cff1f4cc9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21.xml" Id="R835809101e9b4d59" /><Relationship Type="http://schemas.openxmlformats.org/officeDocument/2006/relationships/chart" Target="/xl/drawings/charts/chart22.xml" Id="Rc610fd4d0d6a4c3e" /><Relationship Type="http://schemas.openxmlformats.org/officeDocument/2006/relationships/chart" Target="/xl/drawings/charts/chart23.xml" Id="R3b60875ca4664c09" /><Relationship Type="http://schemas.openxmlformats.org/officeDocument/2006/relationships/chart" Target="/xl/drawings/charts/chart24.xml" Id="R8405cb67d68647b1" /><Relationship Type="http://schemas.openxmlformats.org/officeDocument/2006/relationships/chart" Target="/xl/drawings/charts/chart25.xml" Id="R9b8091bd84124ec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Throughput approaches saturation (req/s)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Throughput</c:v>
          </c:tx>
          <c:spPr>
            <a:solidFill xmlns:a="http://schemas.openxmlformats.org/drawingml/2006/main">
              <a:srgbClr val="5B9BD5"/>
            </a:solidFill>
          </c:spPr>
          <c:marker>
            <c:symbol val="circle"/>
            <c:size val="9"/>
          </c:marker>
          <c:cat>
            <c:strRef>
              <c:f>'Offered Load'!$A$5:$A$9</c:f>
              <c:strCache>
                <c:ptCount val="0"/>
              </c:strCache>
            </c:strRef>
          </c:cat>
          <c:val>
            <c:numRef>
              <c:f>'Offered Load'!$C$5:$C$9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Offered load (% of capacity)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Throughput (requests/s)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Energy falls as utilization improves (J/request)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Energy</c:v>
          </c:tx>
          <c:spPr>
            <a:solidFill xmlns:a="http://schemas.openxmlformats.org/drawingml/2006/main">
              <a:srgbClr val="0B536D"/>
            </a:solidFill>
          </c:spPr>
          <c:marker>
            <c:symbol val="circle"/>
            <c:size val="9"/>
          </c:marker>
          <c:cat>
            <c:strRef>
              <c:f>'Offered Load'!$A$5:$A$9</c:f>
              <c:strCache>
                <c:ptCount val="0"/>
              </c:strCache>
            </c:strRef>
          </c:cat>
          <c:val>
            <c:numRef>
              <c:f>'Offered Load'!$D$5:$D$9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Offered load (% of capacity)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Energy (J/request)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p95 latency accelerates beyond the knee (ms)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Time to first token</c:v>
          </c:tx>
          <c:spPr>
            <a:solidFill xmlns:a="http://schemas.openxmlformats.org/drawingml/2006/main">
              <a:srgbClr val="5B9BD5"/>
            </a:solidFill>
          </c:spPr>
          <c:marker>
            <c:symbol val="circle"/>
            <c:size val="9"/>
          </c:marker>
          <c:cat>
            <c:strRef>
              <c:f>'Offered Load'!$A$5:$A$9</c:f>
              <c:strCache>
                <c:ptCount val="0"/>
              </c:strCache>
            </c:strRef>
          </c:cat>
          <c:val>
            <c:numRef>
              <c:f>'Offered Load'!$E$5:$E$9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Time per output token</c:v>
          </c:tx>
          <c:spPr>
            <a:solidFill xmlns:a="http://schemas.openxmlformats.org/drawingml/2006/main">
              <a:srgbClr val="D97706"/>
            </a:solidFill>
          </c:spPr>
          <c:marker>
            <c:symbol val="circle"/>
            <c:size val="9"/>
          </c:marker>
          <c:cat>
            <c:strRef>
              <c:f>'Offered Load'!$A$5:$A$9</c:f>
              <c:strCache>
                <c:ptCount val="0"/>
              </c:strCache>
            </c:strRef>
          </c:cat>
          <c:val>
            <c:numRef>
              <c:f>'Offered Load'!$F$5:$F$9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End-to-end latency</c:v>
          </c:tx>
          <c:spPr>
            <a:solidFill xmlns:a="http://schemas.openxmlformats.org/drawingml/2006/main">
              <a:srgbClr val="0B536D"/>
            </a:solidFill>
          </c:spPr>
          <c:marker>
            <c:symbol val="circle"/>
            <c:size val="9"/>
          </c:marker>
          <c:cat>
            <c:strRef>
              <c:f>'Offered Load'!$A$5:$A$9</c:f>
              <c:strCache>
                <c:ptCount val="0"/>
              </c:strCache>
            </c:strRef>
          </c:cat>
          <c:val>
            <c:numRef>
              <c:f>'Offered Load'!$G$5:$G$9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Offered load (% of capacity)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Latency (ms)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Total GPU power rises with load (W)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Power</c:v>
          </c:tx>
          <c:marker>
            <c:symbol val="circle"/>
            <c:size val="9"/>
          </c:marker>
          <c:cat>
            <c:strRef>
              <c:f>'Offered Load'!$A$5:$A$9</c:f>
              <c:strCache>
                <c:ptCount val="0"/>
              </c:strCache>
            </c:strRef>
          </c:cat>
          <c:val>
            <c:numRef>
              <c:f>'Offered Load'!$I$5:$I$9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Offered load (% of capacity)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Total GPU power (W)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Requests waiting reveals the saturation knee (%)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Requests waiting</c:v>
          </c:tx>
          <c:spPr>
            <a:solidFill xmlns:a="http://schemas.openxmlformats.org/drawingml/2006/main">
              <a:srgbClr val="C62828"/>
            </a:solidFill>
          </c:spPr>
          <c:marker>
            <c:symbol val="circle"/>
            <c:size val="9"/>
          </c:marker>
          <c:cat>
            <c:strRef>
              <c:f>'Offered Load'!$A$5:$A$9</c:f>
              <c:strCache>
                <c:ptCount val="0"/>
              </c:strCache>
            </c:strRef>
          </c:cat>
          <c:val>
            <c:numRef>
              <c:f>'Offered Load'!$H$5:$H$9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GPU active time</c:v>
          </c:tx>
          <c:spPr>
            <a:solidFill xmlns:a="http://schemas.openxmlformats.org/drawingml/2006/main">
              <a:srgbClr val="5B9BD5"/>
            </a:solidFill>
          </c:spPr>
          <c:marker>
            <c:symbol val="circle"/>
            <c:size val="9"/>
          </c:marker>
          <c:cat>
            <c:strRef>
              <c:f>'Offered Load'!$A$5:$A$9</c:f>
              <c:strCache>
                <c:ptCount val="0"/>
              </c:strCache>
            </c:strRef>
          </c:cat>
          <c:val>
            <c:numRef>
              <c:f>'Offered Load'!$J$5:$J$9</c:f>
              <c:numCache>
                <c:formatCode>0%</c:formatCode>
                <c:ptCount val="0"/>
              </c:numCache>
            </c:numRef>
          </c:val>
          <c:smooth val="0"/>
        </c:ser>
        <c:ser>
          <c:idx val="2"/>
          <c:order val="2"/>
          <c:tx>
            <c:v>Tensor-core active time</c:v>
          </c:tx>
          <c:spPr>
            <a:solidFill xmlns:a="http://schemas.openxmlformats.org/drawingml/2006/main">
              <a:srgbClr val="D97706"/>
            </a:solidFill>
          </c:spPr>
          <c:marker>
            <c:symbol val="circle"/>
            <c:size val="9"/>
          </c:marker>
          <c:cat>
            <c:strRef>
              <c:f>'Offered Load'!$A$5:$A$9</c:f>
              <c:strCache>
                <c:ptCount val="0"/>
              </c:strCache>
            </c:strRef>
          </c:cat>
          <c:val>
            <c:numRef>
              <c:f>'Offered Load'!$K$5:$K$9</c:f>
              <c:numCache>
                <c:formatCode>0%</c:formatCode>
                <c:ptCount val="0"/>
              </c:numCache>
            </c:numRef>
          </c:val>
          <c:smooth val="0"/>
        </c:ser>
        <c:ser>
          <c:idx val="3"/>
          <c:order val="3"/>
          <c:tx>
            <c:v>GPU memory active time</c:v>
          </c:tx>
          <c:spPr>
            <a:solidFill xmlns:a="http://schemas.openxmlformats.org/drawingml/2006/main">
              <a:srgbClr val="2E8B57"/>
            </a:solidFill>
          </c:spPr>
          <c:marker>
            <c:symbol val="circle"/>
            <c:size val="9"/>
          </c:marker>
          <c:cat>
            <c:strRef>
              <c:f>'Offered Load'!$A$5:$A$9</c:f>
              <c:strCache>
                <c:ptCount val="0"/>
              </c:strCache>
            </c:strRef>
          </c:cat>
          <c:val>
            <c:numRef>
              <c:f>'Offered Load'!$L$5:$L$9</c:f>
              <c:numCache>
                <c:formatCode>0%</c:formatCode>
                <c:ptCount val="0"/>
              </c:numCache>
            </c:numRef>
          </c:val>
          <c:smooth val="0"/>
        </c:ser>
        <c:ser>
          <c:idx val="4"/>
          <c:order val="4"/>
          <c:tx>
            <c:v>Prefix-cache hit rate</c:v>
          </c:tx>
          <c:spPr>
            <a:solidFill xmlns:a="http://schemas.openxmlformats.org/drawingml/2006/main">
              <a:srgbClr val="7E57C2"/>
            </a:solidFill>
          </c:spPr>
          <c:marker>
            <c:symbol val="circle"/>
            <c:size val="9"/>
          </c:marker>
          <c:cat>
            <c:strRef>
              <c:f>'Offered Load'!$A$5:$A$9</c:f>
              <c:strCache>
                <c:ptCount val="0"/>
              </c:strCache>
            </c:strRef>
          </c:cat>
          <c:val>
            <c:numRef>
              <c:f>'Offered Load'!$M$5:$M$9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Offered load (% of capacity)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Time / activity share (%)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0%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 128-request concurrency cap reaches the throughput plateau (req/s)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Throughput</c:v>
          </c:tx>
          <c:spPr>
            <a:solidFill xmlns:a="http://schemas.openxmlformats.org/drawingml/2006/main">
              <a:srgbClr val="5B9BD5"/>
            </a:solidFill>
          </c:spPr>
          <c:marker>
            <c:symbol val="circle"/>
            <c:size val="9"/>
          </c:marker>
          <c:cat>
            <c:strRef>
              <c:f>'MRR'!$A$5:$A$8</c:f>
              <c:strCache>
                <c:ptCount val="0"/>
              </c:strCache>
            </c:strRef>
          </c:cat>
          <c:val>
            <c:numRef>
              <c:f>'MRR'!$C$5:$C$8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Maximum running requests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Throughput (requests/s)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Energy gains flatten beyond a 128-request concurrency cap (J/request)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Energy</c:v>
          </c:tx>
          <c:spPr>
            <a:solidFill xmlns:a="http://schemas.openxmlformats.org/drawingml/2006/main">
              <a:srgbClr val="0B536D"/>
            </a:solidFill>
          </c:spPr>
          <c:marker>
            <c:symbol val="circle"/>
            <c:size val="9"/>
          </c:marker>
          <c:cat>
            <c:strRef>
              <c:f>'MRR'!$A$5:$A$8</c:f>
              <c:strCache>
                <c:ptCount val="0"/>
              </c:strCache>
            </c:strRef>
          </c:cat>
          <c:val>
            <c:numRef>
              <c:f>'MRR'!$D$5:$D$8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Maximum running requests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Energy (J/request)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 low concurrency cap creates extreme p95 first-token latency (ms)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Time to first token</c:v>
          </c:tx>
          <c:spPr>
            <a:solidFill xmlns:a="http://schemas.openxmlformats.org/drawingml/2006/main">
              <a:srgbClr val="5B9BD5"/>
            </a:solidFill>
          </c:spPr>
          <c:marker>
            <c:symbol val="circle"/>
            <c:size val="9"/>
          </c:marker>
          <c:cat>
            <c:strRef>
              <c:f>'MRR'!$A$5:$A$8</c:f>
              <c:strCache>
                <c:ptCount val="0"/>
              </c:strCache>
            </c:strRef>
          </c:cat>
          <c:val>
            <c:numRef>
              <c:f>'MRR'!$E$5:$E$8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Time per output token</c:v>
          </c:tx>
          <c:spPr>
            <a:solidFill xmlns:a="http://schemas.openxmlformats.org/drawingml/2006/main">
              <a:srgbClr val="D97706"/>
            </a:solidFill>
          </c:spPr>
          <c:marker>
            <c:symbol val="circle"/>
            <c:size val="9"/>
          </c:marker>
          <c:cat>
            <c:strRef>
              <c:f>'MRR'!$A$5:$A$8</c:f>
              <c:strCache>
                <c:ptCount val="0"/>
              </c:strCache>
            </c:strRef>
          </c:cat>
          <c:val>
            <c:numRef>
              <c:f>'MRR'!$F$5:$F$8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End-to-end latency</c:v>
          </c:tx>
          <c:spPr>
            <a:solidFill xmlns:a="http://schemas.openxmlformats.org/drawingml/2006/main">
              <a:srgbClr val="0B536D"/>
            </a:solidFill>
          </c:spPr>
          <c:marker>
            <c:symbol val="circle"/>
            <c:size val="9"/>
          </c:marker>
          <c:cat>
            <c:strRef>
              <c:f>'MRR'!$A$5:$A$8</c:f>
              <c:strCache>
                <c:ptCount val="0"/>
              </c:strCache>
            </c:strRef>
          </c:cat>
          <c:val>
            <c:numRef>
              <c:f>'MRR'!$G$5:$G$8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Maximum running requests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Latency (ms)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Total GPU power peaks near a 128-request concurrency cap (W)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Power</c:v>
          </c:tx>
          <c:marker>
            <c:symbol val="circle"/>
            <c:size val="9"/>
          </c:marker>
          <c:cat>
            <c:strRef>
              <c:f>'MRR'!$A$5:$A$8</c:f>
              <c:strCache>
                <c:ptCount val="0"/>
              </c:strCache>
            </c:strRef>
          </c:cat>
          <c:val>
            <c:numRef>
              <c:f>'MRR'!$I$5:$I$8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Maximum running requests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Total GPU power (W)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Concurrency cap shifts work from waiting to active execution (%)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Requests waiting</c:v>
          </c:tx>
          <c:spPr>
            <a:solidFill xmlns:a="http://schemas.openxmlformats.org/drawingml/2006/main">
              <a:srgbClr val="C62828"/>
            </a:solidFill>
          </c:spPr>
          <c:marker>
            <c:symbol val="circle"/>
            <c:size val="9"/>
          </c:marker>
          <c:cat>
            <c:strRef>
              <c:f>'MRR'!$A$5:$A$8</c:f>
              <c:strCache>
                <c:ptCount val="0"/>
              </c:strCache>
            </c:strRef>
          </c:cat>
          <c:val>
            <c:numRef>
              <c:f>'MRR'!$H$5:$H$8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GPU active time</c:v>
          </c:tx>
          <c:spPr>
            <a:solidFill xmlns:a="http://schemas.openxmlformats.org/drawingml/2006/main">
              <a:srgbClr val="5B9BD5"/>
            </a:solidFill>
          </c:spPr>
          <c:marker>
            <c:symbol val="circle"/>
            <c:size val="9"/>
          </c:marker>
          <c:cat>
            <c:strRef>
              <c:f>'MRR'!$A$5:$A$8</c:f>
              <c:strCache>
                <c:ptCount val="0"/>
              </c:strCache>
            </c:strRef>
          </c:cat>
          <c:val>
            <c:numRef>
              <c:f>'MRR'!$J$5:$J$8</c:f>
              <c:numCache>
                <c:formatCode>0%</c:formatCode>
                <c:ptCount val="0"/>
              </c:numCache>
            </c:numRef>
          </c:val>
          <c:smooth val="0"/>
        </c:ser>
        <c:ser>
          <c:idx val="2"/>
          <c:order val="2"/>
          <c:tx>
            <c:v>Tensor-core active time</c:v>
          </c:tx>
          <c:spPr>
            <a:solidFill xmlns:a="http://schemas.openxmlformats.org/drawingml/2006/main">
              <a:srgbClr val="D97706"/>
            </a:solidFill>
          </c:spPr>
          <c:marker>
            <c:symbol val="circle"/>
            <c:size val="9"/>
          </c:marker>
          <c:cat>
            <c:strRef>
              <c:f>'MRR'!$A$5:$A$8</c:f>
              <c:strCache>
                <c:ptCount val="0"/>
              </c:strCache>
            </c:strRef>
          </c:cat>
          <c:val>
            <c:numRef>
              <c:f>'MRR'!$K$5:$K$8</c:f>
              <c:numCache>
                <c:formatCode>0%</c:formatCode>
                <c:ptCount val="0"/>
              </c:numCache>
            </c:numRef>
          </c:val>
          <c:smooth val="0"/>
        </c:ser>
        <c:ser>
          <c:idx val="3"/>
          <c:order val="3"/>
          <c:tx>
            <c:v>GPU memory active time</c:v>
          </c:tx>
          <c:spPr>
            <a:solidFill xmlns:a="http://schemas.openxmlformats.org/drawingml/2006/main">
              <a:srgbClr val="2E8B57"/>
            </a:solidFill>
          </c:spPr>
          <c:marker>
            <c:symbol val="circle"/>
            <c:size val="9"/>
          </c:marker>
          <c:cat>
            <c:strRef>
              <c:f>'MRR'!$A$5:$A$8</c:f>
              <c:strCache>
                <c:ptCount val="0"/>
              </c:strCache>
            </c:strRef>
          </c:cat>
          <c:val>
            <c:numRef>
              <c:f>'MRR'!$L$5:$L$8</c:f>
              <c:numCache>
                <c:formatCode>0%</c:formatCode>
                <c:ptCount val="0"/>
              </c:numCache>
            </c:numRef>
          </c:val>
          <c:smooth val="0"/>
        </c:ser>
        <c:ser>
          <c:idx val="4"/>
          <c:order val="4"/>
          <c:tx>
            <c:v>Prefix-cache hit rate</c:v>
          </c:tx>
          <c:spPr>
            <a:solidFill xmlns:a="http://schemas.openxmlformats.org/drawingml/2006/main">
              <a:srgbClr val="7E57C2"/>
            </a:solidFill>
          </c:spPr>
          <c:marker>
            <c:symbol val="circle"/>
            <c:size val="9"/>
          </c:marker>
          <c:cat>
            <c:strRef>
              <c:f>'MRR'!$A$5:$A$8</c:f>
              <c:strCache>
                <c:ptCount val="0"/>
              </c:strCache>
            </c:strRef>
          </c:cat>
          <c:val>
            <c:numRef>
              <c:f>'MRR'!$M$5:$M$8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Maximum running requests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Time / activity share (%)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0%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Small chunks reduce throughput (req/s)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Throughput</c:v>
          </c:tx>
          <c:spPr>
            <a:solidFill xmlns:a="http://schemas.openxmlformats.org/drawingml/2006/main">
              <a:srgbClr val="5B9BD5"/>
            </a:solidFill>
          </c:spPr>
          <c:marker>
            <c:symbol val="circle"/>
            <c:size val="9"/>
          </c:marker>
          <c:cat>
            <c:strRef>
              <c:f>'Chunked Prefill'!$A$5:$A$8</c:f>
              <c:strCache>
                <c:ptCount val="0"/>
              </c:strCache>
            </c:strRef>
          </c:cat>
          <c:val>
            <c:numRef>
              <c:f>'Chunked Prefill'!$C$5:$C$8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Prefill chunk size (tokens)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Throughput (requests/s)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2,048-token chunks consume the most energy (J/request)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Energy</c:v>
          </c:tx>
          <c:spPr>
            <a:solidFill xmlns:a="http://schemas.openxmlformats.org/drawingml/2006/main">
              <a:srgbClr val="0B536D"/>
            </a:solidFill>
          </c:spPr>
          <c:marker>
            <c:symbol val="circle"/>
            <c:size val="9"/>
          </c:marker>
          <c:cat>
            <c:strRef>
              <c:f>'Chunked Prefill'!$A$5:$A$8</c:f>
              <c:strCache>
                <c:ptCount val="0"/>
              </c:strCache>
            </c:strRef>
          </c:cat>
          <c:val>
            <c:numRef>
              <c:f>'Chunked Prefill'!$D$5:$D$8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Prefill chunk size (tokens)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Energy (J/request)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Small chunks inflate p95 latency (ms)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Time to first token</c:v>
          </c:tx>
          <c:spPr>
            <a:solidFill xmlns:a="http://schemas.openxmlformats.org/drawingml/2006/main">
              <a:srgbClr val="5B9BD5"/>
            </a:solidFill>
          </c:spPr>
          <c:marker>
            <c:symbol val="circle"/>
            <c:size val="9"/>
          </c:marker>
          <c:cat>
            <c:strRef>
              <c:f>'Chunked Prefill'!$A$5:$A$8</c:f>
              <c:strCache>
                <c:ptCount val="0"/>
              </c:strCache>
            </c:strRef>
          </c:cat>
          <c:val>
            <c:numRef>
              <c:f>'Chunked Prefill'!$E$5:$E$8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Time per output token</c:v>
          </c:tx>
          <c:spPr>
            <a:solidFill xmlns:a="http://schemas.openxmlformats.org/drawingml/2006/main">
              <a:srgbClr val="D97706"/>
            </a:solidFill>
          </c:spPr>
          <c:marker>
            <c:symbol val="circle"/>
            <c:size val="9"/>
          </c:marker>
          <c:cat>
            <c:strRef>
              <c:f>'Chunked Prefill'!$A$5:$A$8</c:f>
              <c:strCache>
                <c:ptCount val="0"/>
              </c:strCache>
            </c:strRef>
          </c:cat>
          <c:val>
            <c:numRef>
              <c:f>'Chunked Prefill'!$F$5:$F$8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End-to-end latency</c:v>
          </c:tx>
          <c:spPr>
            <a:solidFill xmlns:a="http://schemas.openxmlformats.org/drawingml/2006/main">
              <a:srgbClr val="0B536D"/>
            </a:solidFill>
          </c:spPr>
          <c:marker>
            <c:symbol val="circle"/>
            <c:size val="9"/>
          </c:marker>
          <c:cat>
            <c:strRef>
              <c:f>'Chunked Prefill'!$A$5:$A$8</c:f>
              <c:strCache>
                <c:ptCount val="0"/>
              </c:strCache>
            </c:strRef>
          </c:cat>
          <c:val>
            <c:numRef>
              <c:f>'Chunked Prefill'!$G$5:$G$8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Prefill chunk size (tokens)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Latency (ms)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Power stays broadly flat across chunk sizes (W)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Power</c:v>
          </c:tx>
          <c:marker>
            <c:symbol val="circle"/>
            <c:size val="9"/>
          </c:marker>
          <c:cat>
            <c:strRef>
              <c:f>'Chunked Prefill'!$A$5:$A$8</c:f>
              <c:strCache>
                <c:ptCount val="0"/>
              </c:strCache>
            </c:strRef>
          </c:cat>
          <c:val>
            <c:numRef>
              <c:f>'Chunked Prefill'!$I$5:$I$8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Prefill chunk size (tokens)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Total GPU power (W)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Requests wait most often with 2,048-token chunks (%)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Requests waiting</c:v>
          </c:tx>
          <c:spPr>
            <a:solidFill xmlns:a="http://schemas.openxmlformats.org/drawingml/2006/main">
              <a:srgbClr val="C62828"/>
            </a:solidFill>
          </c:spPr>
          <c:marker>
            <c:symbol val="circle"/>
            <c:size val="9"/>
          </c:marker>
          <c:cat>
            <c:strRef>
              <c:f>'Chunked Prefill'!$A$5:$A$8</c:f>
              <c:strCache>
                <c:ptCount val="0"/>
              </c:strCache>
            </c:strRef>
          </c:cat>
          <c:val>
            <c:numRef>
              <c:f>'Chunked Prefill'!$H$5:$H$8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GPU active time</c:v>
          </c:tx>
          <c:spPr>
            <a:solidFill xmlns:a="http://schemas.openxmlformats.org/drawingml/2006/main">
              <a:srgbClr val="5B9BD5"/>
            </a:solidFill>
          </c:spPr>
          <c:marker>
            <c:symbol val="circle"/>
            <c:size val="9"/>
          </c:marker>
          <c:cat>
            <c:strRef>
              <c:f>'Chunked Prefill'!$A$5:$A$8</c:f>
              <c:strCache>
                <c:ptCount val="0"/>
              </c:strCache>
            </c:strRef>
          </c:cat>
          <c:val>
            <c:numRef>
              <c:f>'Chunked Prefill'!$J$5:$J$8</c:f>
              <c:numCache>
                <c:formatCode>0%</c:formatCode>
                <c:ptCount val="0"/>
              </c:numCache>
            </c:numRef>
          </c:val>
          <c:smooth val="0"/>
        </c:ser>
        <c:ser>
          <c:idx val="2"/>
          <c:order val="2"/>
          <c:tx>
            <c:v>Tensor-core active time</c:v>
          </c:tx>
          <c:spPr>
            <a:solidFill xmlns:a="http://schemas.openxmlformats.org/drawingml/2006/main">
              <a:srgbClr val="D97706"/>
            </a:solidFill>
          </c:spPr>
          <c:marker>
            <c:symbol val="circle"/>
            <c:size val="9"/>
          </c:marker>
          <c:cat>
            <c:strRef>
              <c:f>'Chunked Prefill'!$A$5:$A$8</c:f>
              <c:strCache>
                <c:ptCount val="0"/>
              </c:strCache>
            </c:strRef>
          </c:cat>
          <c:val>
            <c:numRef>
              <c:f>'Chunked Prefill'!$K$5:$K$8</c:f>
              <c:numCache>
                <c:formatCode>0%</c:formatCode>
                <c:ptCount val="0"/>
              </c:numCache>
            </c:numRef>
          </c:val>
          <c:smooth val="0"/>
        </c:ser>
        <c:ser>
          <c:idx val="3"/>
          <c:order val="3"/>
          <c:tx>
            <c:v>GPU memory active time</c:v>
          </c:tx>
          <c:spPr>
            <a:solidFill xmlns:a="http://schemas.openxmlformats.org/drawingml/2006/main">
              <a:srgbClr val="2E8B57"/>
            </a:solidFill>
          </c:spPr>
          <c:marker>
            <c:symbol val="circle"/>
            <c:size val="9"/>
          </c:marker>
          <c:cat>
            <c:strRef>
              <c:f>'Chunked Prefill'!$A$5:$A$8</c:f>
              <c:strCache>
                <c:ptCount val="0"/>
              </c:strCache>
            </c:strRef>
          </c:cat>
          <c:val>
            <c:numRef>
              <c:f>'Chunked Prefill'!$L$5:$L$8</c:f>
              <c:numCache>
                <c:formatCode>0%</c:formatCode>
                <c:ptCount val="0"/>
              </c:numCache>
            </c:numRef>
          </c:val>
          <c:smooth val="0"/>
        </c:ser>
        <c:ser>
          <c:idx val="4"/>
          <c:order val="4"/>
          <c:tx>
            <c:v>Prefix-cache hit rate</c:v>
          </c:tx>
          <c:spPr>
            <a:solidFill xmlns:a="http://schemas.openxmlformats.org/drawingml/2006/main">
              <a:srgbClr val="7E57C2"/>
            </a:solidFill>
          </c:spPr>
          <c:marker>
            <c:symbol val="circle"/>
            <c:size val="9"/>
          </c:marker>
          <c:cat>
            <c:strRef>
              <c:f>'Chunked Prefill'!$A$5:$A$8</c:f>
              <c:strCache>
                <c:ptCount val="0"/>
              </c:strCache>
            </c:strRef>
          </c:cat>
          <c:val>
            <c:numRef>
              <c:f>'Chunked Prefill'!$M$5:$M$8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Prefill chunk size (tokens)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Time / activity share (%)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0%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Throughput remains near 12 req/s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Throughput</c:v>
          </c:tx>
          <c:spPr>
            <a:solidFill xmlns:a="http://schemas.openxmlformats.org/drawingml/2006/main">
              <a:srgbClr val="5B9BD5"/>
            </a:solidFill>
          </c:spPr>
          <c:marker>
            <c:symbol val="circle"/>
            <c:size val="9"/>
          </c:marker>
          <c:cat>
            <c:strRef>
              <c:f>'Radix Cache'!$A$5:$A$10</c:f>
              <c:strCache>
                <c:ptCount val="0"/>
              </c:strCache>
            </c:strRef>
          </c:cat>
          <c:val>
            <c:numRef>
              <c:f>'Radix Cache'!$C$5:$C$10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Prefix reuse / cache mode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Throughput (requests/s)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Radix cache converts reuse into lower energy (J/request)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Energy</c:v>
          </c:tx>
          <c:spPr>
            <a:solidFill xmlns:a="http://schemas.openxmlformats.org/drawingml/2006/main">
              <a:srgbClr val="0B536D"/>
            </a:solidFill>
          </c:spPr>
          <c:marker>
            <c:symbol val="circle"/>
            <c:size val="9"/>
          </c:marker>
          <c:cat>
            <c:strRef>
              <c:f>'Radix Cache'!$A$5:$A$10</c:f>
              <c:strCache>
                <c:ptCount val="0"/>
              </c:strCache>
            </c:strRef>
          </c:cat>
          <c:val>
            <c:numRef>
              <c:f>'Radix Cache'!$D$5:$D$10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Prefix reuse / cache mode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Energy (J/request)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Cached prefixes reduce p95 latency (ms)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Time to first token</c:v>
          </c:tx>
          <c:spPr>
            <a:solidFill xmlns:a="http://schemas.openxmlformats.org/drawingml/2006/main">
              <a:srgbClr val="5B9BD5"/>
            </a:solidFill>
          </c:spPr>
          <c:marker>
            <c:symbol val="circle"/>
            <c:size val="9"/>
          </c:marker>
          <c:cat>
            <c:strRef>
              <c:f>'Radix Cache'!$A$5:$A$10</c:f>
              <c:strCache>
                <c:ptCount val="0"/>
              </c:strCache>
            </c:strRef>
          </c:cat>
          <c:val>
            <c:numRef>
              <c:f>'Radix Cache'!$E$5:$E$10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Time per output token</c:v>
          </c:tx>
          <c:spPr>
            <a:solidFill xmlns:a="http://schemas.openxmlformats.org/drawingml/2006/main">
              <a:srgbClr val="D97706"/>
            </a:solidFill>
          </c:spPr>
          <c:marker>
            <c:symbol val="circle"/>
            <c:size val="9"/>
          </c:marker>
          <c:cat>
            <c:strRef>
              <c:f>'Radix Cache'!$A$5:$A$10</c:f>
              <c:strCache>
                <c:ptCount val="0"/>
              </c:strCache>
            </c:strRef>
          </c:cat>
          <c:val>
            <c:numRef>
              <c:f>'Radix Cache'!$F$5:$F$10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End-to-end latency</c:v>
          </c:tx>
          <c:spPr>
            <a:solidFill xmlns:a="http://schemas.openxmlformats.org/drawingml/2006/main">
              <a:srgbClr val="0B536D"/>
            </a:solidFill>
          </c:spPr>
          <c:marker>
            <c:symbol val="circle"/>
            <c:size val="9"/>
          </c:marker>
          <c:cat>
            <c:strRef>
              <c:f>'Radix Cache'!$A$5:$A$10</c:f>
              <c:strCache>
                <c:ptCount val="0"/>
              </c:strCache>
            </c:strRef>
          </c:cat>
          <c:val>
            <c:numRef>
              <c:f>'Radix Cache'!$G$5:$G$10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Prefix reuse / cache mode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Latency (ms)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Avoided prefill work lowers total GPU power (W)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Power</c:v>
          </c:tx>
          <c:marker>
            <c:symbol val="circle"/>
            <c:size val="9"/>
          </c:marker>
          <c:cat>
            <c:strRef>
              <c:f>'Radix Cache'!$A$5:$A$10</c:f>
              <c:strCache>
                <c:ptCount val="0"/>
              </c:strCache>
            </c:strRef>
          </c:cat>
          <c:val>
            <c:numRef>
              <c:f>'Radix Cache'!$I$5:$I$10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Prefix reuse / cache mode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Total GPU power (W)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Prefix-cache hits reduce compute and memory activity (%)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Requests waiting</c:v>
          </c:tx>
          <c:spPr>
            <a:solidFill xmlns:a="http://schemas.openxmlformats.org/drawingml/2006/main">
              <a:srgbClr val="C62828"/>
            </a:solidFill>
          </c:spPr>
          <c:marker>
            <c:symbol val="circle"/>
            <c:size val="9"/>
          </c:marker>
          <c:cat>
            <c:strRef>
              <c:f>'Radix Cache'!$A$5:$A$10</c:f>
              <c:strCache>
                <c:ptCount val="0"/>
              </c:strCache>
            </c:strRef>
          </c:cat>
          <c:val>
            <c:numRef>
              <c:f>'Radix Cache'!$H$5:$H$10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GPU active time</c:v>
          </c:tx>
          <c:spPr>
            <a:solidFill xmlns:a="http://schemas.openxmlformats.org/drawingml/2006/main">
              <a:srgbClr val="5B9BD5"/>
            </a:solidFill>
          </c:spPr>
          <c:marker>
            <c:symbol val="circle"/>
            <c:size val="9"/>
          </c:marker>
          <c:cat>
            <c:strRef>
              <c:f>'Radix Cache'!$A$5:$A$10</c:f>
              <c:strCache>
                <c:ptCount val="0"/>
              </c:strCache>
            </c:strRef>
          </c:cat>
          <c:val>
            <c:numRef>
              <c:f>'Radix Cache'!$J$5:$J$10</c:f>
              <c:numCache>
                <c:formatCode>0%</c:formatCode>
                <c:ptCount val="0"/>
              </c:numCache>
            </c:numRef>
          </c:val>
          <c:smooth val="0"/>
        </c:ser>
        <c:ser>
          <c:idx val="2"/>
          <c:order val="2"/>
          <c:tx>
            <c:v>Tensor-core active time</c:v>
          </c:tx>
          <c:spPr>
            <a:solidFill xmlns:a="http://schemas.openxmlformats.org/drawingml/2006/main">
              <a:srgbClr val="D97706"/>
            </a:solidFill>
          </c:spPr>
          <c:marker>
            <c:symbol val="circle"/>
            <c:size val="9"/>
          </c:marker>
          <c:cat>
            <c:strRef>
              <c:f>'Radix Cache'!$A$5:$A$10</c:f>
              <c:strCache>
                <c:ptCount val="0"/>
              </c:strCache>
            </c:strRef>
          </c:cat>
          <c:val>
            <c:numRef>
              <c:f>'Radix Cache'!$K$5:$K$10</c:f>
              <c:numCache>
                <c:formatCode>0%</c:formatCode>
                <c:ptCount val="0"/>
              </c:numCache>
            </c:numRef>
          </c:val>
          <c:smooth val="0"/>
        </c:ser>
        <c:ser>
          <c:idx val="3"/>
          <c:order val="3"/>
          <c:tx>
            <c:v>GPU memory active time</c:v>
          </c:tx>
          <c:spPr>
            <a:solidFill xmlns:a="http://schemas.openxmlformats.org/drawingml/2006/main">
              <a:srgbClr val="2E8B57"/>
            </a:solidFill>
          </c:spPr>
          <c:marker>
            <c:symbol val="circle"/>
            <c:size val="9"/>
          </c:marker>
          <c:cat>
            <c:strRef>
              <c:f>'Radix Cache'!$A$5:$A$10</c:f>
              <c:strCache>
                <c:ptCount val="0"/>
              </c:strCache>
            </c:strRef>
          </c:cat>
          <c:val>
            <c:numRef>
              <c:f>'Radix Cache'!$L$5:$L$10</c:f>
              <c:numCache>
                <c:formatCode>0%</c:formatCode>
                <c:ptCount val="0"/>
              </c:numCache>
            </c:numRef>
          </c:val>
          <c:smooth val="0"/>
        </c:ser>
        <c:ser>
          <c:idx val="4"/>
          <c:order val="4"/>
          <c:tx>
            <c:v>Prefix-cache hit rate</c:v>
          </c:tx>
          <c:spPr>
            <a:solidFill xmlns:a="http://schemas.openxmlformats.org/drawingml/2006/main">
              <a:srgbClr val="7E57C2"/>
            </a:solidFill>
          </c:spPr>
          <c:marker>
            <c:symbol val="circle"/>
            <c:size val="9"/>
          </c:marker>
          <c:cat>
            <c:strRef>
              <c:f>'Radix Cache'!$A$5:$A$10</c:f>
              <c:strCache>
                <c:ptCount val="0"/>
              </c:strCache>
            </c:strRef>
          </c:cat>
          <c:val>
            <c:numRef>
              <c:f>'Radix Cache'!$M$5:$M$10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Prefix reuse / cache mode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Time / activity share (%)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0%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Reuse preserves request throughput (req/s)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Throughput</c:v>
          </c:tx>
          <c:spPr>
            <a:solidFill xmlns:a="http://schemas.openxmlformats.org/drawingml/2006/main">
              <a:srgbClr val="5B9BD5"/>
            </a:solidFill>
          </c:spPr>
          <c:marker>
            <c:symbol val="circle"/>
            <c:size val="9"/>
          </c:marker>
          <c:cat>
            <c:strRef>
              <c:f>'Prefix Reuse'!$A$5:$A$7</c:f>
              <c:strCache>
                <c:ptCount val="0"/>
              </c:strCache>
            </c:strRef>
          </c:cat>
          <c:val>
            <c:numRef>
              <c:f>'Prefix Reuse'!$C$5:$C$7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Prefix reuse (%)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Throughput (requests/s)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More reusable prefix lowers energy (J/request)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Energy</c:v>
          </c:tx>
          <c:spPr>
            <a:solidFill xmlns:a="http://schemas.openxmlformats.org/drawingml/2006/main">
              <a:srgbClr val="0B536D"/>
            </a:solidFill>
          </c:spPr>
          <c:marker>
            <c:symbol val="circle"/>
            <c:size val="9"/>
          </c:marker>
          <c:cat>
            <c:strRef>
              <c:f>'Prefix Reuse'!$A$5:$A$7</c:f>
              <c:strCache>
                <c:ptCount val="0"/>
              </c:strCache>
            </c:strRef>
          </c:cat>
          <c:val>
            <c:numRef>
              <c:f>'Prefix Reuse'!$D$5:$D$7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Prefix reuse (%)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Energy (J/request)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Prefix reuse sharply reduces p95 latency (ms)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Time to first token</c:v>
          </c:tx>
          <c:spPr>
            <a:solidFill xmlns:a="http://schemas.openxmlformats.org/drawingml/2006/main">
              <a:srgbClr val="5B9BD5"/>
            </a:solidFill>
          </c:spPr>
          <c:marker>
            <c:symbol val="circle"/>
            <c:size val="9"/>
          </c:marker>
          <c:cat>
            <c:strRef>
              <c:f>'Prefix Reuse'!$A$5:$A$7</c:f>
              <c:strCache>
                <c:ptCount val="0"/>
              </c:strCache>
            </c:strRef>
          </c:cat>
          <c:val>
            <c:numRef>
              <c:f>'Prefix Reuse'!$E$5:$E$7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Time per output token</c:v>
          </c:tx>
          <c:spPr>
            <a:solidFill xmlns:a="http://schemas.openxmlformats.org/drawingml/2006/main">
              <a:srgbClr val="D97706"/>
            </a:solidFill>
          </c:spPr>
          <c:marker>
            <c:symbol val="circle"/>
            <c:size val="9"/>
          </c:marker>
          <c:cat>
            <c:strRef>
              <c:f>'Prefix Reuse'!$A$5:$A$7</c:f>
              <c:strCache>
                <c:ptCount val="0"/>
              </c:strCache>
            </c:strRef>
          </c:cat>
          <c:val>
            <c:numRef>
              <c:f>'Prefix Reuse'!$F$5:$F$7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End-to-end latency</c:v>
          </c:tx>
          <c:spPr>
            <a:solidFill xmlns:a="http://schemas.openxmlformats.org/drawingml/2006/main">
              <a:srgbClr val="0B536D"/>
            </a:solidFill>
          </c:spPr>
          <c:marker>
            <c:symbol val="circle"/>
            <c:size val="9"/>
          </c:marker>
          <c:cat>
            <c:strRef>
              <c:f>'Prefix Reuse'!$A$5:$A$7</c:f>
              <c:strCache>
                <c:ptCount val="0"/>
              </c:strCache>
            </c:strRef>
          </c:cat>
          <c:val>
            <c:numRef>
              <c:f>'Prefix Reuse'!$G$5:$G$7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Prefix reuse (%)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Latency (ms)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Prefix reuse lowers total GPU power (W)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Power</c:v>
          </c:tx>
          <c:marker>
            <c:symbol val="circle"/>
            <c:size val="9"/>
          </c:marker>
          <c:cat>
            <c:strRef>
              <c:f>'Prefix Reuse'!$A$5:$A$7</c:f>
              <c:strCache>
                <c:ptCount val="0"/>
              </c:strCache>
            </c:strRef>
          </c:cat>
          <c:val>
            <c:numRef>
              <c:f>'Prefix Reuse'!$I$5:$I$7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Prefix reuse (%)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Total GPU power (W)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Prefix reuse reduces compute and memory activity (%)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Requests waiting</c:v>
          </c:tx>
          <c:spPr>
            <a:solidFill xmlns:a="http://schemas.openxmlformats.org/drawingml/2006/main">
              <a:srgbClr val="C62828"/>
            </a:solidFill>
          </c:spPr>
          <c:marker>
            <c:symbol val="circle"/>
            <c:size val="9"/>
          </c:marker>
          <c:cat>
            <c:strRef>
              <c:f>'Prefix Reuse'!$A$5:$A$7</c:f>
              <c:strCache>
                <c:ptCount val="0"/>
              </c:strCache>
            </c:strRef>
          </c:cat>
          <c:val>
            <c:numRef>
              <c:f>'Prefix Reuse'!$H$5:$H$7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GPU active time</c:v>
          </c:tx>
          <c:spPr>
            <a:solidFill xmlns:a="http://schemas.openxmlformats.org/drawingml/2006/main">
              <a:srgbClr val="5B9BD5"/>
            </a:solidFill>
          </c:spPr>
          <c:marker>
            <c:symbol val="circle"/>
            <c:size val="9"/>
          </c:marker>
          <c:cat>
            <c:strRef>
              <c:f>'Prefix Reuse'!$A$5:$A$7</c:f>
              <c:strCache>
                <c:ptCount val="0"/>
              </c:strCache>
            </c:strRef>
          </c:cat>
          <c:val>
            <c:numRef>
              <c:f>'Prefix Reuse'!$J$5:$J$7</c:f>
              <c:numCache>
                <c:formatCode>0%</c:formatCode>
                <c:ptCount val="0"/>
              </c:numCache>
            </c:numRef>
          </c:val>
          <c:smooth val="0"/>
        </c:ser>
        <c:ser>
          <c:idx val="2"/>
          <c:order val="2"/>
          <c:tx>
            <c:v>Tensor-core active time</c:v>
          </c:tx>
          <c:spPr>
            <a:solidFill xmlns:a="http://schemas.openxmlformats.org/drawingml/2006/main">
              <a:srgbClr val="D97706"/>
            </a:solidFill>
          </c:spPr>
          <c:marker>
            <c:symbol val="circle"/>
            <c:size val="9"/>
          </c:marker>
          <c:cat>
            <c:strRef>
              <c:f>'Prefix Reuse'!$A$5:$A$7</c:f>
              <c:strCache>
                <c:ptCount val="0"/>
              </c:strCache>
            </c:strRef>
          </c:cat>
          <c:val>
            <c:numRef>
              <c:f>'Prefix Reuse'!$K$5:$K$7</c:f>
              <c:numCache>
                <c:formatCode>0%</c:formatCode>
                <c:ptCount val="0"/>
              </c:numCache>
            </c:numRef>
          </c:val>
          <c:smooth val="0"/>
        </c:ser>
        <c:ser>
          <c:idx val="3"/>
          <c:order val="3"/>
          <c:tx>
            <c:v>GPU memory active time</c:v>
          </c:tx>
          <c:spPr>
            <a:solidFill xmlns:a="http://schemas.openxmlformats.org/drawingml/2006/main">
              <a:srgbClr val="2E8B57"/>
            </a:solidFill>
          </c:spPr>
          <c:marker>
            <c:symbol val="circle"/>
            <c:size val="9"/>
          </c:marker>
          <c:cat>
            <c:strRef>
              <c:f>'Prefix Reuse'!$A$5:$A$7</c:f>
              <c:strCache>
                <c:ptCount val="0"/>
              </c:strCache>
            </c:strRef>
          </c:cat>
          <c:val>
            <c:numRef>
              <c:f>'Prefix Reuse'!$L$5:$L$7</c:f>
              <c:numCache>
                <c:formatCode>0%</c:formatCode>
                <c:ptCount val="0"/>
              </c:numCache>
            </c:numRef>
          </c:val>
          <c:smooth val="0"/>
        </c:ser>
        <c:ser>
          <c:idx val="4"/>
          <c:order val="4"/>
          <c:tx>
            <c:v>Prefix-cache hit rate</c:v>
          </c:tx>
          <c:spPr>
            <a:solidFill xmlns:a="http://schemas.openxmlformats.org/drawingml/2006/main">
              <a:srgbClr val="7E57C2"/>
            </a:solidFill>
          </c:spPr>
          <c:marker>
            <c:symbol val="circle"/>
            <c:size val="9"/>
          </c:marker>
          <c:cat>
            <c:strRef>
              <c:f>'Prefix Reuse'!$A$5:$A$7</c:f>
              <c:strCache>
                <c:ptCount val="0"/>
              </c:strCache>
            </c:strRef>
          </c:cat>
          <c:val>
            <c:numRef>
              <c:f>'Prefix Reuse'!$M$5:$M$7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Prefix reuse (%)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>
                    <a:latin typeface="Arial"/>
                    <a:ea typeface="Arial"/>
                    <a:cs typeface="Arial"/>
                  </a:rPr>
                  <a:t>Time / activity share (%)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  <a:ea typeface="Arial"/>
                  <a:cs typeface="Arial"/>
                </a:defRPr>
              </a:pPr>
            </a:p>
          </c:txPr>
        </c:title>
        <c:numFmt formatCode="0%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7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0a0588b8554a6f"/>
        </a:graphicData>
      </a:graphic>
    </xdr:graphicFrame>
    <xdr:clientData/>
  </xdr:twoCellAnchor>
  <xdr:twoCellAnchor>
    <xdr:from>
      <xdr:col>7</xdr:col>
      <xdr:colOff>0</xdr:colOff>
      <xdr:row>10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fadfd5669f4406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7</xdr:col>
      <xdr:colOff>0</xdr:colOff>
      <xdr:row>45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b37e152fc74569"/>
        </a:graphicData>
      </a:graphic>
    </xdr:graphicFrame>
    <xdr:clientData/>
  </xdr:twoCellAnchor>
  <xdr:twoCellAnchor>
    <xdr:from>
      <xdr:col>7</xdr:col>
      <xdr:colOff>0</xdr:colOff>
      <xdr:row>28</xdr:row>
      <xdr:rowOff>0</xdr:rowOff>
    </xdr:from>
    <xdr:to>
      <xdr:col>14</xdr:col>
      <xdr:colOff>0</xdr:colOff>
      <xdr:row>45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8239f00e404069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14</xdr:col>
      <xdr:colOff>0</xdr:colOff>
      <xdr:row>64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e7a19568fd49c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7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181b5e1bb34b0b"/>
        </a:graphicData>
      </a:graphic>
    </xdr:graphicFrame>
    <xdr:clientData/>
  </xdr:twoCellAnchor>
  <xdr:twoCellAnchor>
    <xdr:from>
      <xdr:col>7</xdr:col>
      <xdr:colOff>0</xdr:colOff>
      <xdr:row>10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1b036c34bc43da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7</xdr:col>
      <xdr:colOff>0</xdr:colOff>
      <xdr:row>45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7ac69a11394f6a"/>
        </a:graphicData>
      </a:graphic>
    </xdr:graphicFrame>
    <xdr:clientData/>
  </xdr:twoCellAnchor>
  <xdr:twoCellAnchor>
    <xdr:from>
      <xdr:col>7</xdr:col>
      <xdr:colOff>0</xdr:colOff>
      <xdr:row>28</xdr:row>
      <xdr:rowOff>0</xdr:rowOff>
    </xdr:from>
    <xdr:to>
      <xdr:col>14</xdr:col>
      <xdr:colOff>0</xdr:colOff>
      <xdr:row>45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d4773782c54a33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14</xdr:col>
      <xdr:colOff>0</xdr:colOff>
      <xdr:row>64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48b6cfd5d6469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7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dbdf3d05a9424c"/>
        </a:graphicData>
      </a:graphic>
    </xdr:graphicFrame>
    <xdr:clientData/>
  </xdr:twoCellAnchor>
  <xdr:twoCellAnchor>
    <xdr:from>
      <xdr:col>7</xdr:col>
      <xdr:colOff>0</xdr:colOff>
      <xdr:row>10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fedf0ccdd948de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7</xdr:col>
      <xdr:colOff>0</xdr:colOff>
      <xdr:row>45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d65361c5468444c"/>
        </a:graphicData>
      </a:graphic>
    </xdr:graphicFrame>
    <xdr:clientData/>
  </xdr:twoCellAnchor>
  <xdr:twoCellAnchor>
    <xdr:from>
      <xdr:col>7</xdr:col>
      <xdr:colOff>0</xdr:colOff>
      <xdr:row>28</xdr:row>
      <xdr:rowOff>0</xdr:rowOff>
    </xdr:from>
    <xdr:to>
      <xdr:col>14</xdr:col>
      <xdr:colOff>0</xdr:colOff>
      <xdr:row>45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5691145db84d5b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14</xdr:col>
      <xdr:colOff>0</xdr:colOff>
      <xdr:row>64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d2a92dc9c6488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7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cc67df0d9c490c"/>
        </a:graphicData>
      </a:graphic>
    </xdr:graphicFrame>
    <xdr:clientData/>
  </xdr:twoCellAnchor>
  <xdr:twoCellAnchor>
    <xdr:from>
      <xdr:col>7</xdr:col>
      <xdr:colOff>0</xdr:colOff>
      <xdr:row>10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fa1e7331aa453a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7</xdr:col>
      <xdr:colOff>0</xdr:colOff>
      <xdr:row>45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6e4f5318c14998"/>
        </a:graphicData>
      </a:graphic>
    </xdr:graphicFrame>
    <xdr:clientData/>
  </xdr:twoCellAnchor>
  <xdr:twoCellAnchor>
    <xdr:from>
      <xdr:col>7</xdr:col>
      <xdr:colOff>0</xdr:colOff>
      <xdr:row>28</xdr:row>
      <xdr:rowOff>0</xdr:rowOff>
    </xdr:from>
    <xdr:to>
      <xdr:col>14</xdr:col>
      <xdr:colOff>0</xdr:colOff>
      <xdr:row>45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41132420e94932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14</xdr:col>
      <xdr:colOff>0</xdr:colOff>
      <xdr:row>64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2fd58cff1f4cc9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7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5809101e9b4d59"/>
        </a:graphicData>
      </a:graphic>
    </xdr:graphicFrame>
    <xdr:clientData/>
  </xdr:twoCellAnchor>
  <xdr:twoCellAnchor>
    <xdr:from>
      <xdr:col>7</xdr:col>
      <xdr:colOff>0</xdr:colOff>
      <xdr:row>10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10fd4d0d6a4c3e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7</xdr:col>
      <xdr:colOff>0</xdr:colOff>
      <xdr:row>45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60875ca4664c09"/>
        </a:graphicData>
      </a:graphic>
    </xdr:graphicFrame>
    <xdr:clientData/>
  </xdr:twoCellAnchor>
  <xdr:twoCellAnchor>
    <xdr:from>
      <xdr:col>7</xdr:col>
      <xdr:colOff>0</xdr:colOff>
      <xdr:row>28</xdr:row>
      <xdr:rowOff>0</xdr:rowOff>
    </xdr:from>
    <xdr:to>
      <xdr:col>14</xdr:col>
      <xdr:colOff>0</xdr:colOff>
      <xdr:row>45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05cb67d68647b1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14</xdr:col>
      <xdr:colOff>0</xdr:colOff>
      <xdr:row>64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8091bd84124ece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40d97a49bb443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112a085df41544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f3de05d8c8814c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265eccb7834747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e471206a8bdd44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219999313354492" hidden="0" customWidth="1"/>
    <x:col min="2" max="2" width="47.779998779296875" hidden="0" customWidth="1"/>
    <x:col min="3" max="3" width="11.109999656677246" hidden="0" customWidth="1"/>
    <x:col min="4" max="4" width="11.109999656677246" hidden="0" customWidth="1"/>
    <x:col min="5" max="5" width="11.109999656677246" hidden="0" customWidth="1"/>
    <x:col min="6" max="6" width="11.109999656677246" hidden="0" customWidth="1"/>
    <x:col min="7" max="7" width="11.109999656677246" hidden="0" customWidth="1"/>
    <x:col min="8" max="8" width="11.109999656677246" hidden="0" customWidth="1"/>
  </x:cols>
  <x:sheetData>
    <x:row r="1" ht="28.5" customHeight="1">
      <x:c r="A1" s="32" t="str">
        <x:v>SGLang H100 energy experiment — chart workbook</x:v>
      </x:c>
      <x:c r="B1" s="32"/>
      <x:c r="C1" s="32"/>
      <x:c r="D1" s="32"/>
      <x:c r="E1" s="32"/>
      <x:c r="F1" s="32"/>
      <x:c r="G1" s="32"/>
      <x:c r="H1" s="32"/>
    </x:row>
    <x:row r="3">
      <x:c r="A3" s="34" t="str">
        <x:v>Sheet</x:v>
      </x:c>
      <x:c r="B3" s="34" t="str">
        <x:v>Purpose</x:v>
      </x:c>
      <x:c r="D3" s="37" t="str">
        <x:v>Link charts into Google Slides</x:v>
      </x:c>
      <x:c r="E3" s="38"/>
      <x:c r="F3" s="38"/>
      <x:c r="G3" s="38"/>
      <x:c r="H3" s="39"/>
    </x:row>
    <x:row r="4">
      <x:c r="A4" s="36" t="str">
        <x:v>Offered Load</x:v>
      </x:c>
      <x:c r="B4" s="36" t="str">
        <x:v>Load-to-throughput, energy, latency and saturation relationships</x:v>
      </x:c>
      <x:c r="D4" s="58" t="str">
        <x:v>1. Import this XLSX into Google Sheets.
2. Open an experiment tab and select a chart.
3. Copy the chart.
4. Paste it into Google Slides.
5. Choose Link to spreadsheet.
6. Use Update in Slides after changing sheet data.</x:v>
      </x:c>
      <x:c r="E4" s="59"/>
      <x:c r="F4" s="59"/>
      <x:c r="G4" s="59"/>
      <x:c r="H4" s="60"/>
    </x:row>
    <x:row r="5">
      <x:c r="A5" s="36" t="str">
        <x:v>MRR</x:v>
      </x:c>
      <x:c r="B5" s="36" t="str">
        <x:v>Maximum-running-request response curves</x:v>
      </x:c>
      <x:c r="D5" s="61"/>
      <x:c r="E5" s="62"/>
      <x:c r="F5" s="62"/>
      <x:c r="G5" s="62"/>
      <x:c r="H5" s="63"/>
    </x:row>
    <x:row r="6">
      <x:c r="A6" s="36" t="str">
        <x:v>Chunked Prefill</x:v>
      </x:c>
      <x:c r="B6" s="36" t="str">
        <x:v>Chunk-size response curves under prefill-heavy load</x:v>
      </x:c>
      <x:c r="D6" s="61"/>
      <x:c r="E6" s="62"/>
      <x:c r="F6" s="62"/>
      <x:c r="G6" s="62"/>
      <x:c r="H6" s="63"/>
    </x:row>
    <x:row r="7">
      <x:c r="A7" s="36" t="str">
        <x:v>Radix Cache</x:v>
      </x:c>
      <x:c r="B7" s="36" t="str">
        <x:v>Cache-off versus cache-on at each prefix-reuse level</x:v>
      </x:c>
      <x:c r="D7" s="61"/>
      <x:c r="E7" s="62"/>
      <x:c r="F7" s="62"/>
      <x:c r="G7" s="62"/>
      <x:c r="H7" s="63"/>
    </x:row>
    <x:row r="8">
      <x:c r="A8" s="36" t="str">
        <x:v>Prefix Reuse</x:v>
      </x:c>
      <x:c r="B8" s="36" t="str">
        <x:v>Reuse sweep with radix cache enabled</x:v>
      </x:c>
      <x:c r="D8" s="61"/>
      <x:c r="E8" s="62"/>
      <x:c r="F8" s="62"/>
      <x:c r="G8" s="62"/>
      <x:c r="H8" s="63"/>
    </x:row>
    <x:row r="9">
      <x:c r="A9" s="36" t="str">
        <x:v>Raw Data</x:v>
      </x:c>
      <x:c r="B9" s="36" t="str">
        <x:v>Selected measurements plus validity and telemetry-quality diagnostics used by the chart sheets</x:v>
      </x:c>
      <x:c r="D9" s="64"/>
      <x:c r="E9" s="65"/>
      <x:c r="F9" s="65"/>
      <x:c r="G9" s="65"/>
      <x:c r="H9" s="66"/>
    </x:row>
    <x:row r="11">
      <x:c r="A11" s="34" t="str">
        <x:v>Metric</x:v>
      </x:c>
      <x:c r="B11" s="34" t="str">
        <x:v>Definition</x:v>
      </x:c>
      <x:c r="D11" s="37" t="str">
        <x:v>Source</x:v>
      </x:c>
      <x:c r="E11" s="38"/>
      <x:c r="F11" s="38"/>
      <x:c r="G11" s="38"/>
      <x:c r="H11" s="39"/>
    </x:row>
    <x:row r="12">
      <x:c r="A12" s="36" t="str">
        <x:v>Throughput</x:v>
      </x:c>
      <x:c r="B12" s="36" t="str">
        <x:v>Successfully completed requests divided by measured cohort time</x:v>
      </x:c>
      <x:c r="D12" s="85" t="str">
        <x:v>/home/randomwish/dev/vllm-exploration/sglang-energy-results/qwen35-sglang-energy-h100-pilot-20260825T140112Z/analysis/telemetry-run-aggregates.csv</x:v>
      </x:c>
      <x:c r="E12" s="86"/>
      <x:c r="F12" s="86"/>
      <x:c r="G12" s="86"/>
      <x:c r="H12" s="87"/>
    </x:row>
    <x:row r="13">
      <x:c r="A13" s="36" t="str">
        <x:v>Energy</x:v>
      </x:c>
      <x:c r="B13" s="36" t="str">
        <x:v>Two-GPU energy-counter delta divided by successful requests</x:v>
      </x:c>
      <x:c r="D13" s="88"/>
      <x:c r="E13" s="89"/>
      <x:c r="F13" s="89"/>
      <x:c r="G13" s="89"/>
      <x:c r="H13" s="90"/>
    </x:row>
    <x:row r="14">
      <x:c r="A14" s="36" t="str">
        <x:v>Time to first token (TTFT)</x:v>
      </x:c>
      <x:c r="B14" s="36" t="str">
        <x:v>Delay until the first generated token; p95 shown</x:v>
      </x:c>
      <x:c r="D14" s="91"/>
      <x:c r="E14" s="92"/>
      <x:c r="F14" s="92"/>
      <x:c r="G14" s="92"/>
      <x:c r="H14" s="93"/>
    </x:row>
    <x:row r="15">
      <x:c r="A15" s="36" t="str">
        <x:v>Time per output token (TPOT)</x:v>
      </x:c>
      <x:c r="B15" s="36" t="str">
        <x:v>Time per generated token after the first; p95 shown</x:v>
      </x:c>
    </x:row>
    <x:row r="16">
      <x:c r="A16" s="36" t="str">
        <x:v>End-to-end latency</x:v>
      </x:c>
      <x:c r="B16" s="36" t="str">
        <x:v>Total request latency; p95 shown</x:v>
      </x:c>
    </x:row>
    <x:row r="17">
      <x:c r="A17" s="36" t="str">
        <x:v>† / Valid = No</x:v>
      </x:c>
      <x:c r="B17" s="36" t="str">
        <x:v>Run failed at least one validity gate; see the Invalid reason column for the exact gate and observed value</x:v>
      </x:c>
    </x:row>
    <x:row r="19">
      <x:c r="A19" s="34" t="str">
        <x:v>Data-quality field</x:v>
      </x:c>
      <x:c r="B19" s="34" t="str">
        <x:v>Definition / interpretation</x:v>
      </x:c>
    </x:row>
    <x:row r="20" ht="33" customHeight="1">
      <x:c r="A20" s="36" t="str">
        <x:v>Max GPU sample gap (s)</x:v>
      </x:c>
      <x:c r="B20" s="36" t="str">
        <x:v>Longest interval between consecutive GPU samples inside the measurement window; threshold is 0.25 s.</x:v>
      </x:c>
    </x:row>
    <x:row r="21" ht="33" customHeight="1">
      <x:c r="A21" s="36" t="str">
        <x:v>GPU sample coverage</x:v>
      </x:c>
      <x:c r="B21" s="36" t="str">
        <x:v>Observed GPU samples divided by expected samples at the 100 ms sampling interval; threshold is 98%.</x:v>
      </x:c>
    </x:row>
    <x:row r="22" ht="33" customHeight="1">
      <x:c r="A22" s="36" t="str">
        <x:v>Energy cross-check error</x:v>
      </x:c>
      <x:c r="B22" s="36" t="str">
        <x:v>Relative difference between integrated power and the cumulative GPU energy counter; threshold is 2%.</x:v>
      </x:c>
    </x:row>
    <x:row r="23" ht="33" customHeight="1">
      <x:c r="A23" s="36" t="str">
        <x:v>Request success rate</x:v>
      </x:c>
      <x:c r="B23" s="36" t="str">
        <x:v>Successful requests divided by requested requests; failed-request runs are retained with this caveat.</x:v>
      </x:c>
    </x:row>
    <x:row r="24" ht="33" customHeight="1">
      <x:c r="A24" s="36" t="str">
        <x:v>Primary comparison</x:v>
      </x:c>
      <x:c r="B24" s="36" t="str">
        <x:v>All validity gates passed.</x:v>
      </x:c>
    </x:row>
    <x:row r="25" ht="33" customHeight="1">
      <x:c r="A25" s="36" t="str">
        <x:v>Include descriptively</x:v>
      </x:c>
      <x:c r="B25" s="36" t="str">
        <x:v>A single telemetry-quality gate failed, but coverage and energy cross-check remain strong.</x:v>
      </x:c>
    </x:row>
    <x:row r="26" ht="33" customHeight="1">
      <x:c r="A26" s="36" t="str">
        <x:v>Include with caveat</x:v>
      </x:c>
      <x:c r="B26" s="36" t="str">
        <x:v>Request success is at least 99%; retain the run, but report the success rate and use successful requests as the metric denominator.</x:v>
      </x:c>
    </x:row>
    <x:row r="27" ht="33" customHeight="1">
      <x:c r="A27" s="36" t="str">
        <x:v>Diagnostic only</x:v>
      </x:c>
      <x:c r="B27" s="36" t="str">
        <x:v>Telemetry quality is too weak for a primary energy comparison; use for context or non-energy diagnostics.</x:v>
      </x:c>
    </x:row>
  </x:sheetData>
  <x:mergeCells>
    <x:mergeCell ref="A1:H1"/>
    <x:mergeCell ref="D3:H3"/>
    <x:mergeCell ref="D4:H9"/>
    <x:mergeCell ref="D11:H11"/>
    <x:mergeCell ref="D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3.890000343322754" hidden="0" customWidth="1"/>
    <x:col min="2" max="2" width="6.889999866485596" hidden="0" customWidth="1"/>
    <x:col min="3" max="3" width="10.890000343322754" hidden="0" customWidth="1"/>
    <x:col min="4" max="4" width="10.890000343322754" hidden="0" customWidth="1"/>
    <x:col min="5" max="5" width="11.670000076293945" hidden="0" customWidth="1"/>
    <x:col min="6" max="6" width="11.670000076293945" hidden="0" customWidth="1"/>
    <x:col min="7" max="7" width="11.670000076293945" hidden="0" customWidth="1"/>
    <x:col min="8" max="8" width="12.4399995803833" hidden="0" customWidth="1"/>
    <x:col min="9" max="9" width="10.890000343322754" hidden="0" customWidth="1"/>
    <x:col min="10" max="10" width="10.220000267028809" hidden="0" customWidth="1"/>
    <x:col min="11" max="11" width="11.329999923706055" hidden="0" customWidth="1"/>
    <x:col min="12" max="12" width="11.329999923706055" hidden="0" customWidth="1"/>
    <x:col min="13" max="13" width="11.5600004196167" hidden="0" customWidth="1"/>
    <x:col min="14" max="14" width="33.33000183105469" hidden="0" customWidth="1"/>
    <x:col min="15" max="15" width="40" hidden="0" customWidth="1"/>
    <x:col min="16" max="16" width="28.889999389648438" hidden="0" customWidth="1"/>
  </x:cols>
  <x:sheetData>
    <x:row r="1" ht="25.5" customHeight="1">
      <x:c r="A1" s="21" t="str">
        <x:v>Offered-load sweep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</x:row>
    <x:row r="2" ht="21" customHeight="1">
      <x:c r="A2" s="23" t="str">
        <x:v>Balanced workload (512 input / 128 output tokens); maximum running requests 128; prefill chunk 8,192; prefix cache off. † denotes an invalid run.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</x:row>
    <x:row r="4" ht="43.5" customHeight="1">
      <x:c r="A4" s="24" t="str">
        <x:v>Setting</x:v>
      </x:c>
      <x:c r="B4" s="24" t="str">
        <x:v>Valid</x:v>
      </x:c>
      <x:c r="C4" s="24" t="str">
        <x:v>Throughput (req/s)</x:v>
      </x:c>
      <x:c r="D4" s="24" t="str">
        <x:v>Energy (J/request)</x:v>
      </x:c>
      <x:c r="E4" s="24" t="str">
        <x:v>p95 time to first token (ms)</x:v>
      </x:c>
      <x:c r="F4" s="24" t="str">
        <x:v>p95 time per output token (ms)</x:v>
      </x:c>
      <x:c r="G4" s="24" t="str">
        <x:v>p95 end-to-end latency (ms)</x:v>
      </x:c>
      <x:c r="H4" s="24" t="str">
        <x:v>Requests waiting (% of time)</x:v>
      </x:c>
      <x:c r="I4" s="24" t="str">
        <x:v>Total GPU power (W)</x:v>
      </x:c>
      <x:c r="J4" s="24" t="str">
        <x:v>GPU active time</x:v>
      </x:c>
      <x:c r="K4" s="24" t="str">
        <x:v>Tensor-core active time</x:v>
      </x:c>
      <x:c r="L4" s="24" t="str">
        <x:v>GPU memory active time</x:v>
      </x:c>
      <x:c r="M4" s="24" t="str">
        <x:v>Prefix-cache hit rate</x:v>
      </x:c>
      <x:c r="N4" s="24" t="str">
        <x:v>Run label</x:v>
      </x:c>
      <x:c r="O4" s="24" t="str">
        <x:v>Invalid reason</x:v>
      </x:c>
      <x:c r="P4" s="24" t="str">
        <x:v>Analysis treatment</x:v>
      </x:c>
    </x:row>
    <x:row r="5" ht="40.5" customHeight="1">
      <x:c r="A5" s="25" t="str">
        <x:f>'Raw Data'!B2</x:f>
        <x:v>50%</x:v>
      </x:c>
      <x:c r="B5" s="26" t="str">
        <x:f>IF('Raw Data'!C2,"Yes","No")</x:f>
        <x:v>Yes</x:v>
      </x:c>
      <x:c r="C5" s="27" t="n">
        <x:f>'Raw Data'!E2</x:f>
        <x:v>24.445841807635933</x:v>
      </x:c>
      <x:c r="D5" s="27" t="n">
        <x:f>'Raw Data'!F2</x:f>
        <x:v>37.795398222605385</x:v>
      </x:c>
      <x:c r="E5" s="27" t="n">
        <x:f>'Raw Data'!G2</x:f>
        <x:v>603.3651199191804</x:v>
      </x:c>
      <x:c r="F5" s="27" t="n">
        <x:f>'Raw Data'!H2</x:f>
        <x:v>37.79074141066375</x:v>
      </x:c>
      <x:c r="G5" s="27" t="n">
        <x:f>'Raw Data'!I2</x:f>
        <x:v>5089.9402137845755</x:v>
      </x:c>
      <x:c r="H5" s="28" t="n">
        <x:f>'Raw Data'!J2</x:f>
        <x:v>0.053763440860215055</x:v>
      </x:c>
      <x:c r="I5" s="29" t="n">
        <x:f>'Raw Data'!K2</x:f>
        <x:v>923.9403260064156</x:v>
      </x:c>
      <x:c r="J5" s="28" t="n">
        <x:f>'Raw Data'!L2</x:f>
        <x:v>0.785925925925926</x:v>
      </x:c>
      <x:c r="K5" s="28" t="n">
        <x:f>'Raw Data'!M2</x:f>
        <x:v>0.0696870609735103</x:v>
      </x:c>
      <x:c r="L5" s="28" t="n">
        <x:f>'Raw Data'!N2</x:f>
        <x:v>0.40915097692191393</x:v>
      </x:c>
      <x:c r="M5" s="28" t="n">
        <x:f>'Raw Data'!O2</x:f>
        <x:v>0</x:v>
      </x:c>
      <x:c r="N5" s="30" t="str">
        <x:f>'Raw Data'!D2</x:f>
        <x:v>s1-knee-0.50</x:v>
      </x:c>
      <x:c r="O5" s="30" t="str">
        <x:f>IF('Raw Data'!C2,"",'Raw Data'!P2)</x:f>
      </x:c>
      <x:c r="P5" s="30" t="str">
        <x:f>'Raw Data'!W2</x:f>
        <x:v>Primary comparison</x:v>
      </x:c>
    </x:row>
    <x:row r="6" ht="40.5" customHeight="1">
      <x:c r="A6" s="25" t="str">
        <x:f>'Raw Data'!B3</x:f>
        <x:v>70%</x:v>
      </x:c>
      <x:c r="B6" s="26" t="str">
        <x:f>IF('Raw Data'!C3,"Yes","No")</x:f>
        <x:v>Yes</x:v>
      </x:c>
      <x:c r="C6" s="27" t="n">
        <x:f>'Raw Data'!E3</x:f>
        <x:v>34.0010498797204</x:v>
      </x:c>
      <x:c r="D6" s="27" t="n">
        <x:f>'Raw Data'!F3</x:f>
        <x:v>31.13419859945053</x:v>
      </x:c>
      <x:c r="E6" s="27" t="n">
        <x:f>'Raw Data'!G3</x:f>
        <x:v>789.1574930399656</x:v>
      </x:c>
      <x:c r="F6" s="27" t="n">
        <x:f>'Raw Data'!H3</x:f>
        <x:v>31.41394018481566</x:v>
      </x:c>
      <x:c r="G6" s="27" t="n">
        <x:f>'Raw Data'!I3</x:f>
        <x:v>4272.760609164834</x:v>
      </x:c>
      <x:c r="H6" s="28" t="n">
        <x:f>'Raw Data'!J3</x:f>
        <x:v>0.4673913043478261</x:v>
      </x:c>
      <x:c r="I6" s="29" t="n">
        <x:f>'Raw Data'!K3</x:f>
        <x:v>1058.5954395450385</x:v>
      </x:c>
      <x:c r="J6" s="28" t="n">
        <x:f>'Raw Data'!L3</x:f>
        <x:v>0.8560303687635574</x:v>
      </x:c>
      <x:c r="K6" s="28" t="n">
        <x:f>'Raw Data'!M3</x:f>
        <x:v>0.08846816898780943</x:v>
      </x:c>
      <x:c r="L6" s="28" t="n">
        <x:f>'Raw Data'!N3</x:f>
        <x:v>0.4832384654326659</x:v>
      </x:c>
      <x:c r="M6" s="28" t="n">
        <x:f>'Raw Data'!O3</x:f>
        <x:v>0</x:v>
      </x:c>
      <x:c r="N6" s="30" t="str">
        <x:f>'Raw Data'!D3</x:f>
        <x:v>s1-knee-0.70</x:v>
      </x:c>
      <x:c r="O6" s="30" t="str">
        <x:f>IF('Raw Data'!C3,"",'Raw Data'!P3)</x:f>
      </x:c>
      <x:c r="P6" s="30" t="str">
        <x:f>'Raw Data'!W3</x:f>
        <x:v>Primary comparison</x:v>
      </x:c>
    </x:row>
    <x:row r="7" ht="40.5" customHeight="1">
      <x:c r="A7" s="25" t="str">
        <x:f>'Raw Data'!B4</x:f>
        <x:v>85%</x:v>
      </x:c>
      <x:c r="B7" s="26" t="str">
        <x:f>IF('Raw Data'!C4,"Yes","No")</x:f>
        <x:v>Yes</x:v>
      </x:c>
      <x:c r="C7" s="27" t="n">
        <x:f>'Raw Data'!E4</x:f>
        <x:v>40.970310431674406</x:v>
      </x:c>
      <x:c r="D7" s="27" t="n">
        <x:f>'Raw Data'!F4</x:f>
        <x:v>27.916172936169456</x:v>
      </x:c>
      <x:c r="E7" s="27" t="n">
        <x:f>'Raw Data'!G4</x:f>
        <x:v>1152.9723116196692</x:v>
      </x:c>
      <x:c r="F7" s="27" t="n">
        <x:f>'Raw Data'!H4</x:f>
        <x:v>25.81616459766358</x:v>
      </x:c>
      <x:c r="G7" s="27" t="n">
        <x:f>'Raw Data'!I4</x:f>
        <x:v>4027.479986101389</x:v>
      </x:c>
      <x:c r="H7" s="28" t="n">
        <x:f>'Raw Data'!J4</x:f>
        <x:v>0.7204301075268817</x:v>
      </x:c>
      <x:c r="I7" s="29" t="n">
        <x:f>'Raw Data'!K4</x:f>
        <x:v>1143.7342712591703</x:v>
      </x:c>
      <x:c r="J7" s="28" t="n">
        <x:f>'Raw Data'!L4</x:f>
        <x:v>0.9217558886509636</x:v>
      </x:c>
      <x:c r="K7" s="28" t="n">
        <x:f>'Raw Data'!M4</x:f>
        <x:v>0.0983158005249851</x:v>
      </x:c>
      <x:c r="L7" s="28" t="n">
        <x:f>'Raw Data'!N4</x:f>
        <x:v>0.5325891276910335</x:v>
      </x:c>
      <x:c r="M7" s="28" t="n">
        <x:f>'Raw Data'!O4</x:f>
        <x:v>0</x:v>
      </x:c>
      <x:c r="N7" s="30" t="str">
        <x:f>'Raw Data'!D4</x:f>
        <x:v>s1-knee-0.85</x:v>
      </x:c>
      <x:c r="O7" s="30" t="str">
        <x:f>IF('Raw Data'!C4,"",'Raw Data'!P4)</x:f>
      </x:c>
      <x:c r="P7" s="30" t="str">
        <x:f>'Raw Data'!W4</x:f>
        <x:v>Primary comparison</x:v>
      </x:c>
    </x:row>
    <x:row r="8" ht="40.5" customHeight="1">
      <x:c r="A8" s="25" t="str">
        <x:f>'Raw Data'!B5</x:f>
        <x:v>95%</x:v>
      </x:c>
      <x:c r="B8" s="26" t="str">
        <x:f>IF('Raw Data'!C5,"Yes","No")</x:f>
        <x:v>Yes</x:v>
      </x:c>
      <x:c r="C8" s="27" t="n">
        <x:f>'Raw Data'!E5</x:f>
        <x:v>45.58408528860253</x:v>
      </x:c>
      <x:c r="D8" s="27" t="n">
        <x:f>'Raw Data'!F5</x:f>
        <x:v>26.205121872047233</x:v>
      </x:c>
      <x:c r="E8" s="27" t="n">
        <x:f>'Raw Data'!G5</x:f>
        <x:v>1672.1060877665877</x:v>
      </x:c>
      <x:c r="F8" s="27" t="n">
        <x:f>'Raw Data'!H5</x:f>
        <x:v>23.906380179389487</x:v>
      </x:c>
      <x:c r="G8" s="27" t="n">
        <x:f>'Raw Data'!I5</x:f>
        <x:v>4233.120443765074</x:v>
      </x:c>
      <x:c r="H8" s="28" t="n">
        <x:f>'Raw Data'!J5</x:f>
        <x:v>0.9052631578947369</x:v>
      </x:c>
      <x:c r="I8" s="29" t="n">
        <x:f>'Raw Data'!K5</x:f>
        <x:v>1194.5365104136247</x:v>
      </x:c>
      <x:c r="J8" s="28" t="n">
        <x:f>'Raw Data'!L5</x:f>
        <x:v>0.9560570824524314</x:v>
      </x:c>
      <x:c r="K8" s="28" t="n">
        <x:f>'Raw Data'!M5</x:f>
        <x:v>0.10431714864669259</x:v>
      </x:c>
      <x:c r="L8" s="28" t="n">
        <x:f>'Raw Data'!N5</x:f>
        <x:v>0.5602813172875054</x:v>
      </x:c>
      <x:c r="M8" s="28" t="n">
        <x:f>'Raw Data'!O5</x:f>
        <x:v>0</x:v>
      </x:c>
      <x:c r="N8" s="30" t="str">
        <x:f>'Raw Data'!D5</x:f>
        <x:v>s1-knee-0.95</x:v>
      </x:c>
      <x:c r="O8" s="30" t="str">
        <x:f>IF('Raw Data'!C5,"",'Raw Data'!P5)</x:f>
      </x:c>
      <x:c r="P8" s="30" t="str">
        <x:f>'Raw Data'!W5</x:f>
        <x:v>Primary comparison</x:v>
      </x:c>
    </x:row>
    <x:row r="9" ht="40.5" customHeight="1">
      <x:c r="A9" s="25" t="str">
        <x:f>'Raw Data'!B6</x:f>
        <x:v>105% †</x:v>
      </x:c>
      <x:c r="B9" s="26" t="str">
        <x:f>IF('Raw Data'!C6,"Yes","No")</x:f>
        <x:v>No</x:v>
      </x:c>
      <x:c r="C9" s="27" t="n">
        <x:f>'Raw Data'!E6</x:f>
        <x:v>47.99589698342319</x:v>
      </x:c>
      <x:c r="D9" s="27" t="n">
        <x:f>'Raw Data'!F6</x:f>
        <x:v>25.204697135525183</x:v>
      </x:c>
      <x:c r="E9" s="27" t="n">
        <x:f>'Raw Data'!G6</x:f>
        <x:v>3574.3215415626764</x:v>
      </x:c>
      <x:c r="F9" s="27" t="n">
        <x:f>'Raw Data'!H6</x:f>
        <x:v>23.20054423533321</x:v>
      </x:c>
      <x:c r="G9" s="27" t="n">
        <x:f>'Raw Data'!I6</x:f>
        <x:v>5854.292510543019</x:v>
      </x:c>
      <x:c r="H9" s="28" t="n">
        <x:f>'Raw Data'!J6</x:f>
        <x:v>0.9292929292929293</x:v>
      </x:c>
      <x:c r="I9" s="29" t="n">
        <x:f>'Raw Data'!K6</x:f>
        <x:v>1209.7220472150482</x:v>
      </x:c>
      <x:c r="J9" s="28" t="n">
        <x:f>'Raw Data'!L6</x:f>
        <x:v>0.9665682281059063</x:v>
      </x:c>
      <x:c r="K9" s="28" t="n">
        <x:f>'Raw Data'!M6</x:f>
        <x:v>0.10534732380098992</x:v>
      </x:c>
      <x:c r="L9" s="28" t="n">
        <x:f>'Raw Data'!N6</x:f>
        <x:v>0.5632787761835677</x:v>
      </x:c>
      <x:c r="M9" s="28" t="n">
        <x:f>'Raw Data'!O6</x:f>
        <x:v>0</x:v>
      </x:c>
      <x:c r="N9" s="30" t="str">
        <x:f>'Raw Data'!D6</x:f>
        <x:v>s1-knee-1.05</x:v>
      </x:c>
      <x:c r="O9" s="30" t="str">
        <x:f>IF('Raw Data'!C6,"",'Raw Data'!P6)</x:f>
        <x:v>Telemetry quality: max gap 0.479 s (&gt;0.25); coverage 99.3%; energy cross-check error 0.27%.</x:v>
      </x:c>
      <x:c r="P9" s="30" t="str">
        <x:f>'Raw Data'!W6</x:f>
        <x:v>Include descriptively; telemetry gap</x:v>
      </x:c>
    </x:row>
  </x:sheetData>
  <x:mergeCells>
    <x:mergeCell ref="A1:P1"/>
    <x:mergeCell ref="A2:P2"/>
  </x:mergeCells>
  <x:conditionalFormatting sqref="A5:P9">
    <x:cfRule type="expression" dxfId="1" priority="1">
      <x:formula>$B5="No"</x:formula>
    </x:cfRule>
  </x:conditionalFormatting>
  <x:pageMargins left="0.7" right="0.7" top="0.75" bottom="0.75" header="0.3" footer="0.3"/>
  <x:drawing xmlns:r="http://schemas.openxmlformats.org/officeDocument/2006/relationships" r:id="R840d97a49bb44367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3.890000343322754" hidden="0" customWidth="1"/>
    <x:col min="2" max="2" width="6.889999866485596" hidden="0" customWidth="1"/>
    <x:col min="3" max="3" width="10.890000343322754" hidden="0" customWidth="1"/>
    <x:col min="4" max="4" width="10.890000343322754" hidden="0" customWidth="1"/>
    <x:col min="5" max="5" width="11.670000076293945" hidden="0" customWidth="1"/>
    <x:col min="6" max="6" width="11.670000076293945" hidden="0" customWidth="1"/>
    <x:col min="7" max="7" width="11.670000076293945" hidden="0" customWidth="1"/>
    <x:col min="8" max="8" width="12.4399995803833" hidden="0" customWidth="1"/>
    <x:col min="9" max="9" width="10.890000343322754" hidden="0" customWidth="1"/>
    <x:col min="10" max="10" width="10.220000267028809" hidden="0" customWidth="1"/>
    <x:col min="11" max="11" width="11.329999923706055" hidden="0" customWidth="1"/>
    <x:col min="12" max="12" width="11.329999923706055" hidden="0" customWidth="1"/>
    <x:col min="13" max="13" width="11.5600004196167" hidden="0" customWidth="1"/>
    <x:col min="14" max="14" width="33.33000183105469" hidden="0" customWidth="1"/>
    <x:col min="15" max="15" width="40" hidden="0" customWidth="1"/>
    <x:col min="16" max="16" width="28.889999389648438" hidden="0" customWidth="1"/>
  </x:cols>
  <x:sheetData>
    <x:row r="1" ht="25.5" customHeight="1">
      <x:c r="A1" s="21" t="str">
        <x:v>Maximum running requests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</x:row>
    <x:row r="2" ht="21" customHeight="1">
      <x:c r="A2" s="23" t="str">
        <x:v>Balanced workload (512 input / 128 output tokens) at 90% of measured capacity; prefill chunk 8,192; prefix cache off. † denotes an invalid run.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</x:row>
    <x:row r="4" ht="43.5" customHeight="1">
      <x:c r="A4" s="24" t="str">
        <x:v>Setting</x:v>
      </x:c>
      <x:c r="B4" s="24" t="str">
        <x:v>Valid</x:v>
      </x:c>
      <x:c r="C4" s="24" t="str">
        <x:v>Throughput (req/s)</x:v>
      </x:c>
      <x:c r="D4" s="24" t="str">
        <x:v>Energy (J/request)</x:v>
      </x:c>
      <x:c r="E4" s="24" t="str">
        <x:v>p95 time to first token (ms)</x:v>
      </x:c>
      <x:c r="F4" s="24" t="str">
        <x:v>p95 time per output token (ms)</x:v>
      </x:c>
      <x:c r="G4" s="24" t="str">
        <x:v>p95 end-to-end latency (ms)</x:v>
      </x:c>
      <x:c r="H4" s="24" t="str">
        <x:v>Requests waiting (% of time)</x:v>
      </x:c>
      <x:c r="I4" s="24" t="str">
        <x:v>Total GPU power (W)</x:v>
      </x:c>
      <x:c r="J4" s="24" t="str">
        <x:v>GPU active time</x:v>
      </x:c>
      <x:c r="K4" s="24" t="str">
        <x:v>Tensor-core active time</x:v>
      </x:c>
      <x:c r="L4" s="24" t="str">
        <x:v>GPU memory active time</x:v>
      </x:c>
      <x:c r="M4" s="24" t="str">
        <x:v>Prefix-cache hit rate</x:v>
      </x:c>
      <x:c r="N4" s="24" t="str">
        <x:v>Run label</x:v>
      </x:c>
      <x:c r="O4" s="24" t="str">
        <x:v>Invalid reason</x:v>
      </x:c>
      <x:c r="P4" s="24" t="str">
        <x:v>Analysis treatment</x:v>
      </x:c>
    </x:row>
    <x:row r="5" ht="40.5" customHeight="1">
      <x:c r="A5" s="25" t="str">
        <x:f>'Raw Data'!B7</x:f>
        <x:v>32 †</x:v>
      </x:c>
      <x:c r="B5" s="26" t="str">
        <x:f>IF('Raw Data'!C7,"Yes","No")</x:f>
        <x:v>No</x:v>
      </x:c>
      <x:c r="C5" s="27" t="n">
        <x:f>'Raw Data'!E7</x:f>
        <x:v>22.009941718054325</x:v>
      </x:c>
      <x:c r="D5" s="27" t="n">
        <x:f>'Raw Data'!F7</x:f>
        <x:v>43.023219260788196</x:v>
      </x:c>
      <x:c r="E5" s="27" t="n">
        <x:f>'Raw Data'!G7</x:f>
        <x:v>35292.89305862039</x:v>
      </x:c>
      <x:c r="F5" s="27" t="n">
        <x:f>'Raw Data'!H7</x:f>
        <x:v>11.151421023166087</x:v>
      </x:c>
      <x:c r="G5" s="27" t="n">
        <x:f>'Raw Data'!I7</x:f>
        <x:v>36598.172401078045</x:v>
      </x:c>
      <x:c r="H5" s="28" t="n">
        <x:f>'Raw Data'!J7</x:f>
        <x:v>0.9866666666666667</x:v>
      </x:c>
      <x:c r="I5" s="29" t="n">
        <x:f>'Raw Data'!K7</x:f>
        <x:v>946.9385484530204</x:v>
      </x:c>
      <x:c r="J5" s="28" t="n">
        <x:f>'Raw Data'!L7</x:f>
        <x:v>0.981214953271028</x:v>
      </x:c>
      <x:c r="K5" s="28" t="n">
        <x:f>'Raw Data'!M7</x:f>
        <x:v>0.06162530155963006</x:v>
      </x:c>
      <x:c r="L5" s="28" t="n">
        <x:f>'Raw Data'!N7</x:f>
        <x:v>0.4465121751317829</x:v>
      </x:c>
      <x:c r="M5" s="28" t="n">
        <x:f>'Raw Data'!O7</x:f>
        <x:v>0</x:v>
      </x:c>
      <x:c r="N5" s="30" t="str">
        <x:f>'Raw Data'!D7</x:f>
        <x:v>s1-mrr-screen-mrr-32_chunk-8192_cache-off</x:v>
      </x:c>
      <x:c r="O5" s="30" t="str">
        <x:f>IF('Raw Data'!C7,"",'Raw Data'!P7)</x:f>
        <x:v>Request quality: watchdog triggered; 385 of 2,036 requests failed (81.1% success).</x:v>
      </x:c>
      <x:c r="P5" s="30" t="str">
        <x:f>'Raw Data'!W7</x:f>
        <x:v>Descriptive only; request failures</x:v>
      </x:c>
    </x:row>
    <x:row r="6" ht="40.5" customHeight="1">
      <x:c r="A6" s="25" t="str">
        <x:f>'Raw Data'!B8</x:f>
        <x:v>64</x:v>
      </x:c>
      <x:c r="B6" s="26" t="str">
        <x:f>IF('Raw Data'!C8,"Yes","No")</x:f>
        <x:v>Yes</x:v>
      </x:c>
      <x:c r="C6" s="27" t="n">
        <x:f>'Raw Data'!E8</x:f>
        <x:v>35.537329678544374</x:v>
      </x:c>
      <x:c r="D6" s="27" t="n">
        <x:f>'Raw Data'!F8</x:f>
        <x:v>31.08101620819339</x:v>
      </x:c>
      <x:c r="E6" s="27" t="n">
        <x:f>'Raw Data'!G8</x:f>
        <x:v>10990.635237656534</x:v>
      </x:c>
      <x:c r="F6" s="27" t="n">
        <x:f>'Raw Data'!H8</x:f>
        <x:v>14.297452641607034</x:v>
      </x:c>
      <x:c r="G6" s="27" t="n">
        <x:f>'Raw Data'!I8</x:f>
        <x:v>12357.051199302077</x:v>
      </x:c>
      <x:c r="H6" s="28" t="n">
        <x:f>'Raw Data'!J8</x:f>
        <x:v>0.956140350877193</x:v>
      </x:c>
      <x:c r="I6" s="29" t="n">
        <x:f>'Raw Data'!K8</x:f>
        <x:v>1104.5363197347497</x:v>
      </x:c>
      <x:c r="J6" s="28" t="n">
        <x:f>'Raw Data'!L8</x:f>
        <x:v>0.9632984293193718</x:v>
      </x:c>
      <x:c r="K6" s="28" t="n">
        <x:f>'Raw Data'!M8</x:f>
        <x:v>0.08917514685018688</x:v>
      </x:c>
      <x:c r="L6" s="28" t="n">
        <x:f>'Raw Data'!N8</x:f>
        <x:v>0.5410190264201111</x:v>
      </x:c>
      <x:c r="M6" s="28" t="n">
        <x:f>'Raw Data'!O8</x:f>
        <x:v>0</x:v>
      </x:c>
      <x:c r="N6" s="30" t="str">
        <x:f>'Raw Data'!D8</x:f>
        <x:v>s1-mrr-screen-mrr-64_chunk-8192_cache-off</x:v>
      </x:c>
      <x:c r="O6" s="30" t="str">
        <x:f>IF('Raw Data'!C8,"",'Raw Data'!P8)</x:f>
      </x:c>
      <x:c r="P6" s="30" t="str">
        <x:f>'Raw Data'!W8</x:f>
        <x:v>Primary comparison</x:v>
      </x:c>
    </x:row>
    <x:row r="7" ht="40.5" customHeight="1">
      <x:c r="A7" s="25" t="str">
        <x:f>'Raw Data'!B9</x:f>
        <x:v>128</x:v>
      </x:c>
      <x:c r="B7" s="26" t="str">
        <x:f>IF('Raw Data'!C9,"Yes","No")</x:f>
        <x:v>Yes</x:v>
      </x:c>
      <x:c r="C7" s="27" t="n">
        <x:f>'Raw Data'!E9</x:f>
        <x:v>43.361568344875806</x:v>
      </x:c>
      <x:c r="D7" s="27" t="n">
        <x:f>'Raw Data'!F9</x:f>
        <x:v>26.769869351668067</x:v>
      </x:c>
      <x:c r="E7" s="27" t="n">
        <x:f>'Raw Data'!G9</x:f>
        <x:v>1478.8447208702564</x:v>
      </x:c>
      <x:c r="F7" s="27" t="n">
        <x:f>'Raw Data'!H9</x:f>
        <x:v>24.998279673406692</x:v>
      </x:c>
      <x:c r="G7" s="27" t="n">
        <x:f>'Raw Data'!I9</x:f>
        <x:v>4241.659091319889</x:v>
      </x:c>
      <x:c r="H7" s="28" t="n">
        <x:f>'Raw Data'!J9</x:f>
        <x:v>0.776595744680851</x:v>
      </x:c>
      <x:c r="I7" s="29" t="n">
        <x:f>'Raw Data'!K9</x:f>
        <x:v>1160.783519475751</x:v>
      </x:c>
      <x:c r="J7" s="28" t="n">
        <x:f>'Raw Data'!L9</x:f>
        <x:v>0.9354584221748401</x:v>
      </x:c>
      <x:c r="K7" s="28" t="n">
        <x:f>'Raw Data'!M9</x:f>
        <x:v>0.10310779358691216</x:v>
      </x:c>
      <x:c r="L7" s="28" t="n">
        <x:f>'Raw Data'!N9</x:f>
        <x:v>0.5416887104835048</x:v>
      </x:c>
      <x:c r="M7" s="28" t="n">
        <x:f>'Raw Data'!O9</x:f>
        <x:v>0</x:v>
      </x:c>
      <x:c r="N7" s="30" t="str">
        <x:f>'Raw Data'!D9</x:f>
        <x:v>s1-mrr-screen-mrr-128_chunk-8192_cache-off</x:v>
      </x:c>
      <x:c r="O7" s="30" t="str">
        <x:f>IF('Raw Data'!C9,"",'Raw Data'!P9)</x:f>
      </x:c>
      <x:c r="P7" s="30" t="str">
        <x:f>'Raw Data'!W9</x:f>
        <x:v>Primary comparison</x:v>
      </x:c>
    </x:row>
    <x:row r="8" ht="40.5" customHeight="1">
      <x:c r="A8" s="25" t="str">
        <x:f>'Raw Data'!B10</x:f>
        <x:v>256</x:v>
      </x:c>
      <x:c r="B8" s="26" t="str">
        <x:f>IF('Raw Data'!C10,"Yes","No")</x:f>
        <x:v>Yes</x:v>
      </x:c>
      <x:c r="C8" s="27" t="n">
        <x:f>'Raw Data'!E10</x:f>
        <x:v>43.38407596362329</x:v>
      </x:c>
      <x:c r="D8" s="27" t="n">
        <x:f>'Raw Data'!F10</x:f>
        <x:v>25.869375245744447</x:v>
      </x:c>
      <x:c r="E8" s="27" t="n">
        <x:f>'Raw Data'!G10</x:f>
        <x:v>1400.5666747689247</x:v>
      </x:c>
      <x:c r="F8" s="27" t="n">
        <x:f>'Raw Data'!H10</x:f>
        <x:v>50.25299512011212</x:v>
      </x:c>
      <x:c r="G8" s="27" t="n">
        <x:f>'Raw Data'!I10</x:f>
        <x:v>6886.456418316811</x:v>
      </x:c>
      <x:c r="H8" s="28" t="n">
        <x:f>'Raw Data'!J10</x:f>
        <x:v>0.4574468085106383</x:v>
      </x:c>
      <x:c r="I8" s="29" t="n">
        <x:f>'Raw Data'!K10</x:f>
        <x:v>1122.318940792853</x:v>
      </x:c>
      <x:c r="J8" s="28" t="n">
        <x:f>'Raw Data'!L10</x:f>
        <x:v>0.870682302771855</x:v>
      </x:c>
      <x:c r="K8" s="28" t="n">
        <x:f>'Raw Data'!M10</x:f>
        <x:v>0.10044222859282614</x:v>
      </x:c>
      <x:c r="L8" s="28" t="n">
        <x:f>'Raw Data'!N10</x:f>
        <x:v>0.49137705314730495</x:v>
      </x:c>
      <x:c r="M8" s="28" t="n">
        <x:f>'Raw Data'!O10</x:f>
        <x:v>0</x:v>
      </x:c>
      <x:c r="N8" s="30" t="str">
        <x:f>'Raw Data'!D10</x:f>
        <x:v>s1-mrr-screen-mrr-256_chunk-8192_cache-off</x:v>
      </x:c>
      <x:c r="O8" s="30" t="str">
        <x:f>IF('Raw Data'!C10,"",'Raw Data'!P10)</x:f>
      </x:c>
      <x:c r="P8" s="30" t="str">
        <x:f>'Raw Data'!W10</x:f>
        <x:v>Primary comparison</x:v>
      </x:c>
    </x:row>
  </x:sheetData>
  <x:mergeCells>
    <x:mergeCell ref="A1:P1"/>
    <x:mergeCell ref="A2:P2"/>
  </x:mergeCells>
  <x:conditionalFormatting sqref="A5:P8">
    <x:cfRule type="expression" dxfId="2" priority="1">
      <x:formula>$B5="No"</x:formula>
    </x:cfRule>
  </x:conditionalFormatting>
  <x:pageMargins left="0.7" right="0.7" top="0.75" bottom="0.75" header="0.3" footer="0.3"/>
  <x:drawing xmlns:r="http://schemas.openxmlformats.org/officeDocument/2006/relationships" r:id="R112a085df4154497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3.890000343322754" hidden="0" customWidth="1"/>
    <x:col min="2" max="2" width="6.889999866485596" hidden="0" customWidth="1"/>
    <x:col min="3" max="3" width="10.890000343322754" hidden="0" customWidth="1"/>
    <x:col min="4" max="4" width="10.890000343322754" hidden="0" customWidth="1"/>
    <x:col min="5" max="5" width="11.670000076293945" hidden="0" customWidth="1"/>
    <x:col min="6" max="6" width="11.670000076293945" hidden="0" customWidth="1"/>
    <x:col min="7" max="7" width="11.670000076293945" hidden="0" customWidth="1"/>
    <x:col min="8" max="8" width="12.4399995803833" hidden="0" customWidth="1"/>
    <x:col min="9" max="9" width="10.890000343322754" hidden="0" customWidth="1"/>
    <x:col min="10" max="10" width="10.220000267028809" hidden="0" customWidth="1"/>
    <x:col min="11" max="11" width="11.329999923706055" hidden="0" customWidth="1"/>
    <x:col min="12" max="12" width="11.329999923706055" hidden="0" customWidth="1"/>
    <x:col min="13" max="13" width="11.5600004196167" hidden="0" customWidth="1"/>
    <x:col min="14" max="14" width="33.33000183105469" hidden="0" customWidth="1"/>
    <x:col min="15" max="15" width="40" hidden="0" customWidth="1"/>
    <x:col min="16" max="16" width="28.889999389648438" hidden="0" customWidth="1"/>
  </x:cols>
  <x:sheetData>
    <x:row r="1" ht="25.5" customHeight="1">
      <x:c r="A1" s="21" t="str">
        <x:v>Chunked-prefill size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</x:row>
    <x:row r="2" ht="21" customHeight="1">
      <x:c r="A2" s="23" t="str">
        <x:v>Prefill-heavy workload (8,192 input / 128 output tokens) at 85% of measured capacity; maximum running requests 128; prefix cache off. † denotes an invalid run.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</x:row>
    <x:row r="4" ht="43.5" customHeight="1">
      <x:c r="A4" s="24" t="str">
        <x:v>Setting</x:v>
      </x:c>
      <x:c r="B4" s="24" t="str">
        <x:v>Valid</x:v>
      </x:c>
      <x:c r="C4" s="24" t="str">
        <x:v>Throughput (req/s)</x:v>
      </x:c>
      <x:c r="D4" s="24" t="str">
        <x:v>Energy (J/request)</x:v>
      </x:c>
      <x:c r="E4" s="24" t="str">
        <x:v>p95 time to first token (ms)</x:v>
      </x:c>
      <x:c r="F4" s="24" t="str">
        <x:v>p95 time per output token (ms)</x:v>
      </x:c>
      <x:c r="G4" s="24" t="str">
        <x:v>p95 end-to-end latency (ms)</x:v>
      </x:c>
      <x:c r="H4" s="24" t="str">
        <x:v>Requests waiting (% of time)</x:v>
      </x:c>
      <x:c r="I4" s="24" t="str">
        <x:v>Total GPU power (W)</x:v>
      </x:c>
      <x:c r="J4" s="24" t="str">
        <x:v>GPU active time</x:v>
      </x:c>
      <x:c r="K4" s="24" t="str">
        <x:v>Tensor-core active time</x:v>
      </x:c>
      <x:c r="L4" s="24" t="str">
        <x:v>GPU memory active time</x:v>
      </x:c>
      <x:c r="M4" s="24" t="str">
        <x:v>Prefix-cache hit rate</x:v>
      </x:c>
      <x:c r="N4" s="24" t="str">
        <x:v>Run label</x:v>
      </x:c>
      <x:c r="O4" s="24" t="str">
        <x:v>Invalid reason</x:v>
      </x:c>
      <x:c r="P4" s="24" t="str">
        <x:v>Analysis treatment</x:v>
      </x:c>
    </x:row>
    <x:row r="5" ht="40.5" customHeight="1">
      <x:c r="A5" s="25" t="str">
        <x:f>'Raw Data'!B11</x:f>
        <x:v>Disabled</x:v>
      </x:c>
      <x:c r="B5" s="26" t="str">
        <x:f>IF('Raw Data'!C11,"Yes","No")</x:f>
        <x:v>Yes</x:v>
      </x:c>
      <x:c r="C5" s="27" t="n">
        <x:f>'Raw Data'!E11</x:f>
        <x:v>6.326069927938605</x:v>
      </x:c>
      <x:c r="D5" s="27" t="n">
        <x:f>'Raw Data'!F11</x:f>
        <x:v>194.75731186301022</x:v>
      </x:c>
      <x:c r="E5" s="27" t="n">
        <x:f>'Raw Data'!G11</x:f>
        <x:v>831.0896800830961</x:v>
      </x:c>
      <x:c r="F5" s="27" t="n">
        <x:f>'Raw Data'!H11</x:f>
        <x:v>58.42961005602531</x:v>
      </x:c>
      <x:c r="G5" s="27" t="n">
        <x:f>'Raw Data'!I11</x:f>
        <x:v>7736.897653713824</x:v>
      </x:c>
      <x:c r="H5" s="28" t="n">
        <x:f>'Raw Data'!J11</x:f>
        <x:v>0.1827956989247312</x:v>
      </x:c>
      <x:c r="I5" s="29" t="n">
        <x:f>'Raw Data'!K11</x:f>
        <x:v>1232.0483738227495</x:v>
      </x:c>
      <x:c r="J5" s="28" t="n">
        <x:f>'Raw Data'!L11</x:f>
        <x:v>0.9590967741935484</x:v>
      </x:c>
      <x:c r="K5" s="28" t="n">
        <x:f>'Raw Data'!M11</x:f>
        <x:v>0.17721283999179907</x:v>
      </x:c>
      <x:c r="L5" s="28" t="n">
        <x:f>'Raw Data'!N11</x:f>
        <x:v>0.4296167794673621</x:v>
      </x:c>
      <x:c r="M5" s="28" t="n">
        <x:f>'Raw Data'!O11</x:f>
        <x:v>0</x:v>
      </x:c>
      <x:c r="N5" s="30" t="str">
        <x:f>'Raw Data'!D11</x:f>
        <x:v>s2-chunk-screen-mrr-128_chunk--1_cache-off</x:v>
      </x:c>
      <x:c r="O5" s="30" t="str">
        <x:f>IF('Raw Data'!C11,"",'Raw Data'!P11)</x:f>
      </x:c>
      <x:c r="P5" s="30" t="str">
        <x:f>'Raw Data'!W11</x:f>
        <x:v>Primary comparison</x:v>
      </x:c>
    </x:row>
    <x:row r="6" ht="40.5" customHeight="1">
      <x:c r="A6" s="25" t="str">
        <x:f>'Raw Data'!B12</x:f>
        <x:v>2,048</x:v>
      </x:c>
      <x:c r="B6" s="26" t="str">
        <x:f>IF('Raw Data'!C12,"Yes","No")</x:f>
        <x:v>Yes</x:v>
      </x:c>
      <x:c r="C6" s="27" t="n">
        <x:f>'Raw Data'!E12</x:f>
        <x:v>5.595638031426788</x:v>
      </x:c>
      <x:c r="D6" s="27" t="n">
        <x:f>'Raw Data'!F12</x:f>
        <x:v>220.71359321949845</x:v>
      </x:c>
      <x:c r="E6" s="27" t="n">
        <x:f>'Raw Data'!G12</x:f>
        <x:v>5555.318632908173</x:v>
      </x:c>
      <x:c r="F6" s="27" t="n">
        <x:f>'Raw Data'!H12</x:f>
        <x:v>169.25070192664862</x:v>
      </x:c>
      <x:c r="G6" s="27" t="n">
        <x:f>'Raw Data'!I12</x:f>
        <x:v>24707.659987732768</x:v>
      </x:c>
      <x:c r="H6" s="28" t="n">
        <x:f>'Raw Data'!J12</x:f>
        <x:v>0.9428571428571428</x:v>
      </x:c>
      <x:c r="I6" s="29" t="n">
        <x:f>'Raw Data'!K12</x:f>
        <x:v>1235.0333762718874</x:v>
      </x:c>
      <x:c r="J6" s="28" t="n">
        <x:f>'Raw Data'!L12</x:f>
        <x:v>0.9210815939278937</x:v>
      </x:c>
      <x:c r="K6" s="28" t="n">
        <x:f>'Raw Data'!M12</x:f>
        <x:v>0.17151337823528817</x:v>
      </x:c>
      <x:c r="L6" s="28" t="n">
        <x:f>'Raw Data'!N12</x:f>
        <x:v>0.4309708788890593</x:v>
      </x:c>
      <x:c r="M6" s="28" t="n">
        <x:f>'Raw Data'!O12</x:f>
        <x:v>0</x:v>
      </x:c>
      <x:c r="N6" s="30" t="str">
        <x:f>'Raw Data'!D12</x:f>
        <x:v>s2-chunk-screen-mrr-128_chunk-2048_cache-off</x:v>
      </x:c>
      <x:c r="O6" s="30" t="str">
        <x:f>IF('Raw Data'!C12,"",'Raw Data'!P12)</x:f>
      </x:c>
      <x:c r="P6" s="30" t="str">
        <x:f>'Raw Data'!W12</x:f>
        <x:v>Primary comparison</x:v>
      </x:c>
    </x:row>
    <x:row r="7" ht="40.5" customHeight="1">
      <x:c r="A7" s="25" t="str">
        <x:f>'Raw Data'!B13</x:f>
        <x:v>4,096 †</x:v>
      </x:c>
      <x:c r="B7" s="26" t="str">
        <x:f>IF('Raw Data'!C13,"Yes","No")</x:f>
        <x:v>No</x:v>
      </x:c>
      <x:c r="C7" s="27" t="n">
        <x:f>'Raw Data'!E13</x:f>
        <x:v>6.19273165046296</x:v>
      </x:c>
      <x:c r="D7" s="27" t="n">
        <x:f>'Raw Data'!F13</x:f>
        <x:v>205.77484067819887</x:v>
      </x:c>
      <x:c r="E7" s="27" t="n">
        <x:f>'Raw Data'!G13</x:f>
        <x:v>1103.2081995159388</x:v>
      </x:c>
      <x:c r="F7" s="27" t="n">
        <x:f>'Raw Data'!H13</x:f>
        <x:v>132.0090960007249</x:v>
      </x:c>
      <x:c r="G7" s="27" t="n">
        <x:f>'Raw Data'!I13</x:f>
        <x:v>17059.310399740934</x:v>
      </x:c>
      <x:c r="H7" s="28" t="n">
        <x:f>'Raw Data'!J13</x:f>
        <x:v>0.5578947368421052</x:v>
      </x:c>
      <x:c r="I7" s="29" t="n">
        <x:f>'Raw Data'!K13</x:f>
        <x:v>1274.308368736855</x:v>
      </x:c>
      <x:c r="J7" s="28" t="n">
        <x:f>'Raw Data'!L13</x:f>
        <x:v>0.9354449152542372</x:v>
      </x:c>
      <x:c r="K7" s="28" t="n">
        <x:f>'Raw Data'!M13</x:f>
        <x:v>0.17208438751602856</x:v>
      </x:c>
      <x:c r="L7" s="28" t="n">
        <x:f>'Raw Data'!N13</x:f>
        <x:v>0.4459406701620918</x:v>
      </x:c>
      <x:c r="M7" s="28" t="n">
        <x:f>'Raw Data'!O13</x:f>
        <x:v>0</x:v>
      </x:c>
      <x:c r="N7" s="30" t="str">
        <x:f>'Raw Data'!D13</x:f>
        <x:v>s2-chunk-screen-mrr-128_chunk-4096_cache-off</x:v>
      </x:c>
      <x:c r="O7" s="30" t="str">
        <x:f>IF('Raw Data'!C13,"",'Raw Data'!P13)</x:f>
        <x:v>Telemetry quality: max gap 0.328 s (&gt;0.25); coverage 99.1%; energy cross-check error 0.47%.</x:v>
      </x:c>
      <x:c r="P7" s="30" t="str">
        <x:f>'Raw Data'!W13</x:f>
        <x:v>Include descriptively; telemetry gap</x:v>
      </x:c>
    </x:row>
    <x:row r="8" ht="40.5" customHeight="1">
      <x:c r="A8" s="25" t="str">
        <x:f>'Raw Data'!B14</x:f>
        <x:v>8,192</x:v>
      </x:c>
      <x:c r="B8" s="26" t="str">
        <x:f>IF('Raw Data'!C14,"Yes","No")</x:f>
        <x:v>Yes</x:v>
      </x:c>
      <x:c r="C8" s="27" t="n">
        <x:f>'Raw Data'!E14</x:f>
        <x:v>6.275848783127812</x:v>
      </x:c>
      <x:c r="D8" s="27" t="n">
        <x:f>'Raw Data'!F14</x:f>
        <x:v>199.86678304995522</x:v>
      </x:c>
      <x:c r="E8" s="27" t="n">
        <x:f>'Raw Data'!G14</x:f>
        <x:v>839.5384322851896</x:v>
      </x:c>
      <x:c r="F8" s="27" t="n">
        <x:f>'Raw Data'!H14</x:f>
        <x:v>77.45326419368268</x:v>
      </x:c>
      <x:c r="G8" s="27" t="n">
        <x:f>'Raw Data'!I14</x:f>
        <x:v>10112.50263992697</x:v>
      </x:c>
      <x:c r="H8" s="28" t="n">
        <x:f>'Raw Data'!J14</x:f>
        <x:v>0.30851063829787234</x:v>
      </x:c>
      <x:c r="I8" s="29" t="n">
        <x:f>'Raw Data'!K14</x:f>
        <x:v>1254.333707191732</x:v>
      </x:c>
      <x:c r="J8" s="28" t="n">
        <x:f>'Raw Data'!L14</x:f>
        <x:v>0.9674413646055438</x:v>
      </x:c>
      <x:c r="K8" s="28" t="n">
        <x:f>'Raw Data'!M14</x:f>
        <x:v>0.17293843691358787</x:v>
      </x:c>
      <x:c r="L8" s="28" t="n">
        <x:f>'Raw Data'!N14</x:f>
        <x:v>0.4395836192530189</x:v>
      </x:c>
      <x:c r="M8" s="28" t="n">
        <x:f>'Raw Data'!O14</x:f>
        <x:v>0</x:v>
      </x:c>
      <x:c r="N8" s="30" t="str">
        <x:f>'Raw Data'!D14</x:f>
        <x:v>s2-chunk-screen-mrr-128_chunk-8192_cache-off</x:v>
      </x:c>
      <x:c r="O8" s="30" t="str">
        <x:f>IF('Raw Data'!C14,"",'Raw Data'!P14)</x:f>
      </x:c>
      <x:c r="P8" s="30" t="str">
        <x:f>'Raw Data'!W14</x:f>
        <x:v>Primary comparison</x:v>
      </x:c>
    </x:row>
  </x:sheetData>
  <x:mergeCells>
    <x:mergeCell ref="A1:P1"/>
    <x:mergeCell ref="A2:P2"/>
  </x:mergeCells>
  <x:conditionalFormatting sqref="A5:P8">
    <x:cfRule type="expression" dxfId="3" priority="1">
      <x:formula>$B5="No"</x:formula>
    </x:cfRule>
  </x:conditionalFormatting>
  <x:pageMargins left="0.7" right="0.7" top="0.75" bottom="0.75" header="0.3" footer="0.3"/>
  <x:drawing xmlns:r="http://schemas.openxmlformats.org/officeDocument/2006/relationships" r:id="Rf3de05d8c8814c96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3.890000343322754" hidden="0" customWidth="1"/>
    <x:col min="2" max="2" width="6.889999866485596" hidden="0" customWidth="1"/>
    <x:col min="3" max="3" width="10.890000343322754" hidden="0" customWidth="1"/>
    <x:col min="4" max="4" width="10.890000343322754" hidden="0" customWidth="1"/>
    <x:col min="5" max="5" width="11.670000076293945" hidden="0" customWidth="1"/>
    <x:col min="6" max="6" width="11.670000076293945" hidden="0" customWidth="1"/>
    <x:col min="7" max="7" width="11.670000076293945" hidden="0" customWidth="1"/>
    <x:col min="8" max="8" width="12.4399995803833" hidden="0" customWidth="1"/>
    <x:col min="9" max="9" width="10.890000343322754" hidden="0" customWidth="1"/>
    <x:col min="10" max="10" width="10.220000267028809" hidden="0" customWidth="1"/>
    <x:col min="11" max="11" width="11.329999923706055" hidden="0" customWidth="1"/>
    <x:col min="12" max="12" width="11.329999923706055" hidden="0" customWidth="1"/>
    <x:col min="13" max="13" width="11.5600004196167" hidden="0" customWidth="1"/>
    <x:col min="14" max="14" width="33.33000183105469" hidden="0" customWidth="1"/>
    <x:col min="15" max="15" width="40" hidden="0" customWidth="1"/>
    <x:col min="16" max="16" width="28.889999389648438" hidden="0" customWidth="1"/>
  </x:cols>
  <x:sheetData>
    <x:row r="1" ht="25.5" customHeight="1">
      <x:c r="A1" s="21" t="str">
        <x:v>Radix cache × prefix reuse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</x:row>
    <x:row r="2" ht="21" customHeight="1">
      <x:c r="A2" s="23" t="str">
        <x:v>4,096 input / 128 output tokens at 85% of measured capacity; maximum running requests 128; prefill chunk 8,192. Compare prefix cache off/on at each reuse level.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</x:row>
    <x:row r="4" ht="43.5" customHeight="1">
      <x:c r="A4" s="24" t="str">
        <x:v>Setting</x:v>
      </x:c>
      <x:c r="B4" s="24" t="str">
        <x:v>Valid</x:v>
      </x:c>
      <x:c r="C4" s="24" t="str">
        <x:v>Throughput (req/s)</x:v>
      </x:c>
      <x:c r="D4" s="24" t="str">
        <x:v>Energy (J/request)</x:v>
      </x:c>
      <x:c r="E4" s="24" t="str">
        <x:v>p95 time to first token (ms)</x:v>
      </x:c>
      <x:c r="F4" s="24" t="str">
        <x:v>p95 time per output token (ms)</x:v>
      </x:c>
      <x:c r="G4" s="24" t="str">
        <x:v>p95 end-to-end latency (ms)</x:v>
      </x:c>
      <x:c r="H4" s="24" t="str">
        <x:v>Requests waiting (% of time)</x:v>
      </x:c>
      <x:c r="I4" s="24" t="str">
        <x:v>Total GPU power (W)</x:v>
      </x:c>
      <x:c r="J4" s="24" t="str">
        <x:v>GPU active time</x:v>
      </x:c>
      <x:c r="K4" s="24" t="str">
        <x:v>Tensor-core active time</x:v>
      </x:c>
      <x:c r="L4" s="24" t="str">
        <x:v>GPU memory active time</x:v>
      </x:c>
      <x:c r="M4" s="24" t="str">
        <x:v>Prefix-cache hit rate</x:v>
      </x:c>
      <x:c r="N4" s="24" t="str">
        <x:v>Run label</x:v>
      </x:c>
      <x:c r="O4" s="24" t="str">
        <x:v>Invalid reason</x:v>
      </x:c>
      <x:c r="P4" s="24" t="str">
        <x:v>Analysis treatment</x:v>
      </x:c>
    </x:row>
    <x:row r="5" ht="40.5" customHeight="1">
      <x:c r="A5" s="25" t="str">
        <x:f>'Raw Data'!B15</x:f>
        <x:v>0% / Cache off</x:v>
      </x:c>
      <x:c r="B5" s="26" t="str">
        <x:f>IF('Raw Data'!C15,"Yes","No")</x:f>
        <x:v>Yes</x:v>
      </x:c>
      <x:c r="C5" s="27" t="n">
        <x:f>'Raw Data'!E15</x:f>
        <x:v>11.837328327656428</x:v>
      </x:c>
      <x:c r="D5" s="27" t="n">
        <x:f>'Raw Data'!F15</x:f>
        <x:v>106.94614598524832</x:v>
      </x:c>
      <x:c r="E5" s="27" t="n">
        <x:f>'Raw Data'!G15</x:f>
        <x:v>798.1028161011636</x:v>
      </x:c>
      <x:c r="F5" s="27" t="n">
        <x:f>'Raw Data'!H15</x:f>
        <x:v>68.58657193553493</x:v>
      </x:c>
      <x:c r="G5" s="27" t="n">
        <x:f>'Raw Data'!I15</x:f>
        <x:v>9007.900548540056</x:v>
      </x:c>
      <x:c r="H5" s="28" t="n">
        <x:f>'Raw Data'!J15</x:f>
        <x:v>0.17391304347826086</x:v>
      </x:c>
      <x:c r="I5" s="29" t="n">
        <x:f>'Raw Data'!K15</x:f>
        <x:v>1265.9566434048595</x:v>
      </x:c>
      <x:c r="J5" s="28" t="n">
        <x:f>'Raw Data'!L15</x:f>
        <x:v>0.9637445887445888</x:v>
      </x:c>
      <x:c r="K5" s="28" t="n">
        <x:f>'Raw Data'!M15</x:f>
        <x:v>0.16327154847129308</x:v>
      </x:c>
      <x:c r="L5" s="28" t="n">
        <x:f>'Raw Data'!N15</x:f>
        <x:v>0.4781801273933388</x:v>
      </x:c>
      <x:c r="M5" s="28" t="n">
        <x:f>'Raw Data'!O15</x:f>
        <x:v>0</x:v>
      </x:c>
      <x:c r="N5" s="30" t="str">
        <x:f>'Raw Data'!D15</x:f>
        <x:v>s3-cold-PX0-mrr-128_chunk-8192_cache-off</x:v>
      </x:c>
      <x:c r="O5" s="30" t="str">
        <x:f>IF('Raw Data'!C15,"",'Raw Data'!P15)</x:f>
      </x:c>
      <x:c r="P5" s="30" t="str">
        <x:f>'Raw Data'!W15</x:f>
        <x:v>Primary comparison</x:v>
      </x:c>
    </x:row>
    <x:row r="6" ht="40.5" customHeight="1">
      <x:c r="A6" s="25" t="str">
        <x:f>'Raw Data'!B18</x:f>
        <x:v>0% / Cache on</x:v>
      </x:c>
      <x:c r="B6" s="26" t="str">
        <x:f>IF('Raw Data'!C18,"Yes","No")</x:f>
        <x:v>Yes</x:v>
      </x:c>
      <x:c r="C6" s="27" t="n">
        <x:f>'Raw Data'!E18</x:f>
        <x:v>11.808101202447329</x:v>
      </x:c>
      <x:c r="D6" s="27" t="n">
        <x:f>'Raw Data'!F18</x:f>
        <x:v>105.58448357651703</x:v>
      </x:c>
      <x:c r="E6" s="27" t="n">
        <x:f>'Raw Data'!G18</x:f>
        <x:v>1265.5305057764049</x:v>
      </x:c>
      <x:c r="F6" s="27" t="n">
        <x:f>'Raw Data'!H18</x:f>
        <x:v>56.95438159365705</x:v>
      </x:c>
      <x:c r="G6" s="27" t="n">
        <x:f>'Raw Data'!I18</x:f>
        <x:v>7682.469580788165</x:v>
      </x:c>
      <x:c r="H6" s="28" t="n">
        <x:f>'Raw Data'!J18</x:f>
        <x:v>0.44086021505376344</x:v>
      </x:c>
      <x:c r="I6" s="29" t="n">
        <x:f>'Raw Data'!K18</x:f>
        <x:v>1246.752267479651</x:v>
      </x:c>
      <x:c r="J6" s="28" t="n">
        <x:f>'Raw Data'!L18</x:f>
        <x:v>0.9289978448275862</x:v>
      </x:c>
      <x:c r="K6" s="28" t="n">
        <x:f>'Raw Data'!M18</x:f>
        <x:v>0.1572928607109363</x:v>
      </x:c>
      <x:c r="L6" s="28" t="n">
        <x:f>'Raw Data'!N18</x:f>
        <x:v>0.4611527505861279</x:v>
      </x:c>
      <x:c r="M6" s="28" t="n">
        <x:f>'Raw Data'!O18</x:f>
        <x:v>0</x:v>
      </x:c>
      <x:c r="N6" s="30" t="str">
        <x:f>'Raw Data'!D18</x:f>
        <x:v>s3-cold-PX0-mrr-128_chunk-8192_cache-on</x:v>
      </x:c>
      <x:c r="O6" s="30" t="str">
        <x:f>IF('Raw Data'!C18,"",'Raw Data'!P18)</x:f>
      </x:c>
      <x:c r="P6" s="30" t="str">
        <x:f>'Raw Data'!W18</x:f>
        <x:v>Primary comparison</x:v>
      </x:c>
    </x:row>
    <x:row r="7" ht="40.5" customHeight="1">
      <x:c r="A7" s="25" t="str">
        <x:f>'Raw Data'!B16</x:f>
        <x:v>50% / Cache off †</x:v>
      </x:c>
      <x:c r="B7" s="26" t="str">
        <x:f>IF('Raw Data'!C16,"Yes","No")</x:f>
        <x:v>No</x:v>
      </x:c>
      <x:c r="C7" s="27" t="n">
        <x:f>'Raw Data'!E16</x:f>
        <x:v>11.23118284426017</x:v>
      </x:c>
      <x:c r="D7" s="27" t="n">
        <x:f>'Raw Data'!F16</x:f>
        <x:v>102.22056985252044</x:v>
      </x:c>
      <x:c r="E7" s="27" t="n">
        <x:f>'Raw Data'!G16</x:f>
        <x:v>7570.720574259758</x:v>
      </x:c>
      <x:c r="F7" s="27" t="n">
        <x:f>'Raw Data'!H16</x:f>
        <x:v>130.47115321630451</x:v>
      </x:c>
      <x:c r="G7" s="27" t="n">
        <x:f>'Raw Data'!I16</x:f>
        <x:v>16778.06106377393</x:v>
      </x:c>
      <x:c r="H7" s="28" t="n">
        <x:f>'Raw Data'!J16</x:f>
        <x:v>0.6597938144329897</x:v>
      </x:c>
      <x:c r="I7" s="29" t="n">
        <x:f>'Raw Data'!K16</x:f>
        <x:v>1148.057910458126</x:v>
      </x:c>
      <x:c r="J7" s="28" t="n">
        <x:f>'Raw Data'!L16</x:f>
        <x:v>0.957450495049505</x:v>
      </x:c>
      <x:c r="K7" s="28" t="n">
        <x:f>'Raw Data'!M16</x:f>
        <x:v>0.18237300119917124</x:v>
      </x:c>
      <x:c r="L7" s="28" t="n">
        <x:f>'Raw Data'!N16</x:f>
        <x:v>0.47425375441181983</x:v>
      </x:c>
      <x:c r="M7" s="28" t="n">
        <x:f>'Raw Data'!O16</x:f>
        <x:v>0</x:v>
      </x:c>
      <x:c r="N7" s="30" t="str">
        <x:f>'Raw Data'!D16</x:f>
        <x:v>s3-cold-PX50-mrr-128_chunk-8192_cache-off</x:v>
      </x:c>
      <x:c r="O7" s="30" t="str">
        <x:f>IF('Raw Data'!C16,"",'Raw Data'!P16)</x:f>
        <x:v>Telemetry quality: max gap 8.046 s; coverage 83.4% (&lt;98%); energy cross-check error 2.75% (&gt;2%).</x:v>
      </x:c>
      <x:c r="P7" s="30" t="str">
        <x:f>'Raw Data'!W16</x:f>
        <x:v>Diagnostic only; exclude from primary energy</x:v>
      </x:c>
    </x:row>
    <x:row r="8" ht="40.5" customHeight="1">
      <x:c r="A8" s="25" t="str">
        <x:f>'Raw Data'!B19</x:f>
        <x:v>50% / Cache on</x:v>
      </x:c>
      <x:c r="B8" s="26" t="str">
        <x:f>IF('Raw Data'!C19,"Yes","No")</x:f>
        <x:v>Yes</x:v>
      </x:c>
      <x:c r="C8" s="27" t="n">
        <x:f>'Raw Data'!E19</x:f>
        <x:v>11.919992320054458</x:v>
      </x:c>
      <x:c r="D8" s="27" t="n">
        <x:f>'Raw Data'!F19</x:f>
        <x:v>88.95051286764004</x:v>
      </x:c>
      <x:c r="E8" s="27" t="n">
        <x:f>'Raw Data'!G19</x:f>
        <x:v>221.23891338706028</x:v>
      </x:c>
      <x:c r="F8" s="27" t="n">
        <x:f>'Raw Data'!H19</x:f>
        <x:v>25.395412423361947</x:v>
      </x:c>
      <x:c r="G8" s="27" t="n">
        <x:f>'Raw Data'!I19</x:f>
        <x:v>3400.4773477092385</x:v>
      </x:c>
      <x:c r="H8" s="28" t="n">
        <x:f>'Raw Data'!J19</x:f>
        <x:v>0.010869565217391304</x:v>
      </x:c>
      <x:c r="I8" s="29" t="n">
        <x:f>'Raw Data'!K19</x:f>
        <x:v>1060.2894302471746</x:v>
      </x:c>
      <x:c r="J8" s="28" t="n">
        <x:f>'Raw Data'!L19</x:f>
        <x:v>0.9278508771929825</x:v>
      </x:c>
      <x:c r="K8" s="28" t="n">
        <x:f>'Raw Data'!M19</x:f>
        <x:v>0.10866733164534181</x:v>
      </x:c>
      <x:c r="L8" s="28" t="n">
        <x:f>'Raw Data'!N19</x:f>
        <x:v>0.4382897525414253</x:v>
      </x:c>
      <x:c r="M8" s="28" t="n">
        <x:f>'Raw Data'!O19</x:f>
        <x:v>0.3858695652173913</x:v>
      </x:c>
      <x:c r="N8" s="30" t="str">
        <x:f>'Raw Data'!D19</x:f>
        <x:v>s3-cold-PX50-mrr-128_chunk-8192_cache-on</x:v>
      </x:c>
      <x:c r="O8" s="30" t="str">
        <x:f>IF('Raw Data'!C19,"",'Raw Data'!P19)</x:f>
      </x:c>
      <x:c r="P8" s="30" t="str">
        <x:f>'Raw Data'!W19</x:f>
        <x:v>Primary comparison</x:v>
      </x:c>
    </x:row>
    <x:row r="9" ht="40.5" customHeight="1">
      <x:c r="A9" s="25" t="str">
        <x:f>'Raw Data'!B17</x:f>
        <x:v>87.5% / Cache off †</x:v>
      </x:c>
      <x:c r="B9" s="26" t="str">
        <x:f>IF('Raw Data'!C17,"Yes","No")</x:f>
        <x:v>No</x:v>
      </x:c>
      <x:c r="C9" s="27" t="n">
        <x:f>'Raw Data'!E17</x:f>
        <x:v>11.834629471248926</x:v>
      </x:c>
      <x:c r="D9" s="27" t="n">
        <x:f>'Raw Data'!F17</x:f>
        <x:v>108.04172324782368</x:v>
      </x:c>
      <x:c r="E9" s="27" t="n">
        <x:f>'Raw Data'!G17</x:f>
        <x:v>463.4062558412552</x:v>
      </x:c>
      <x:c r="F9" s="27" t="n">
        <x:f>'Raw Data'!H17</x:f>
        <x:v>67.38232032241899</x:v>
      </x:c>
      <x:c r="G9" s="27" t="n">
        <x:f>'Raw Data'!I17</x:f>
        <x:v>8745.384279731657</x:v>
      </x:c>
      <x:c r="H9" s="28" t="n">
        <x:f>'Raw Data'!J17</x:f>
        <x:v>0.16304347826086957</x:v>
      </x:c>
      <x:c r="I9" s="29" t="n">
        <x:f>'Raw Data'!K17</x:f>
        <x:v>1278.6337620732143</x:v>
      </x:c>
      <x:c r="J9" s="28" t="n">
        <x:f>'Raw Data'!L17</x:f>
        <x:v>0.962772925764192</x:v>
      </x:c>
      <x:c r="K9" s="28" t="n">
        <x:f>'Raw Data'!M17</x:f>
        <x:v>0.1639243184646974</x:v>
      </x:c>
      <x:c r="L9" s="28" t="n">
        <x:f>'Raw Data'!N17</x:f>
        <x:v>0.47303768108942584</x:v>
      </x:c>
      <x:c r="M9" s="28" t="n">
        <x:f>'Raw Data'!O17</x:f>
        <x:v>0</x:v>
      </x:c>
      <x:c r="N9" s="30" t="str">
        <x:f>'Raw Data'!D17</x:f>
        <x:v>s3-cold-PX87-mrr-128_chunk-8192_cache-off</x:v>
      </x:c>
      <x:c r="O9" s="30" t="str">
        <x:f>IF('Raw Data'!C17,"",'Raw Data'!P17)</x:f>
        <x:v>Request quality: 2 of 544 failed (99.6% success); errors were server disconnect/reset.</x:v>
      </x:c>
      <x:c r="P9" s="30" t="str">
        <x:f>'Raw Data'!W17</x:f>
        <x:v>Include with caveat; 99.6% success</x:v>
      </x:c>
    </x:row>
    <x:row r="10" ht="40.5" customHeight="1">
      <x:c r="A10" s="25" t="str">
        <x:f>'Raw Data'!B20</x:f>
        <x:v>87.5% / Cache on †</x:v>
      </x:c>
      <x:c r="B10" s="26" t="str">
        <x:f>IF('Raw Data'!C20,"Yes","No")</x:f>
        <x:v>No</x:v>
      </x:c>
      <x:c r="C10" s="27" t="n">
        <x:f>'Raw Data'!E20</x:f>
        <x:v>11.939282300279753</x:v>
      </x:c>
      <x:c r="D10" s="27" t="n">
        <x:f>'Raw Data'!F20</x:f>
        <x:v>72.38799080953879</x:v>
      </x:c>
      <x:c r="E10" s="27" t="n">
        <x:f>'Raw Data'!G20</x:f>
        <x:v>210.11657798662787</x:v>
      </x:c>
      <x:c r="F10" s="27" t="n">
        <x:f>'Raw Data'!H20</x:f>
        <x:v>20.111568400445655</x:v>
      </x:c>
      <x:c r="G10" s="27" t="n">
        <x:f>'Raw Data'!I20</x:f>
        <x:v>2685.4106995277107</x:v>
      </x:c>
      <x:c r="H10" s="28" t="n">
        <x:f>'Raw Data'!J20</x:f>
        <x:v>0.01098901098901099</x:v>
      </x:c>
      <x:c r="I10" s="29" t="n">
        <x:f>'Raw Data'!K20</x:f>
        <x:v>864.2606574251399</x:v>
      </x:c>
      <x:c r="J10" s="28" t="n">
        <x:f>'Raw Data'!L20</x:f>
        <x:v>0.8462527716186253</x:v>
      </x:c>
      <x:c r="K10" s="28" t="n">
        <x:f>'Raw Data'!M20</x:f>
        <x:v>0.058895052493452386</x:v>
      </x:c>
      <x:c r="L10" s="28" t="n">
        <x:f>'Raw Data'!N20</x:f>
        <x:v>0.3791245638094244</x:v>
      </x:c>
      <x:c r="M10" s="28" t="n">
        <x:f>'Raw Data'!O20</x:f>
        <x:v>0.5961538461538461</x:v>
      </x:c>
      <x:c r="N10" s="30" t="str">
        <x:f>'Raw Data'!D20</x:f>
        <x:v>s3-cold-PX87-mrr-128_chunk-8192_cache-on</x:v>
      </x:c>
      <x:c r="O10" s="30" t="str">
        <x:f>IF('Raw Data'!C20,"",'Raw Data'!P20)</x:f>
        <x:v>Telemetry quality: max gap 0.505 s (&gt;0.25); coverage 99.0%; energy cross-check error 0.78%.</x:v>
      </x:c>
      <x:c r="P10" s="30" t="str">
        <x:f>'Raw Data'!W20</x:f>
        <x:v>Include descriptively; telemetry gap</x:v>
      </x:c>
    </x:row>
  </x:sheetData>
  <x:mergeCells>
    <x:mergeCell ref="A1:P1"/>
    <x:mergeCell ref="A2:P2"/>
  </x:mergeCells>
  <x:conditionalFormatting sqref="A5:P10">
    <x:cfRule type="expression" dxfId="4" priority="1">
      <x:formula>$B5="No"</x:formula>
    </x:cfRule>
  </x:conditionalFormatting>
  <x:pageMargins left="0.7" right="0.7" top="0.75" bottom="0.75" header="0.3" footer="0.3"/>
  <x:drawing xmlns:r="http://schemas.openxmlformats.org/officeDocument/2006/relationships" r:id="R265eccb78347476a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3.890000343322754" hidden="0" customWidth="1"/>
    <x:col min="2" max="2" width="6.889999866485596" hidden="0" customWidth="1"/>
    <x:col min="3" max="3" width="10.890000343322754" hidden="0" customWidth="1"/>
    <x:col min="4" max="4" width="10.890000343322754" hidden="0" customWidth="1"/>
    <x:col min="5" max="5" width="11.670000076293945" hidden="0" customWidth="1"/>
    <x:col min="6" max="6" width="11.670000076293945" hidden="0" customWidth="1"/>
    <x:col min="7" max="7" width="11.670000076293945" hidden="0" customWidth="1"/>
    <x:col min="8" max="8" width="12.4399995803833" hidden="0" customWidth="1"/>
    <x:col min="9" max="9" width="10.890000343322754" hidden="0" customWidth="1"/>
    <x:col min="10" max="10" width="10.220000267028809" hidden="0" customWidth="1"/>
    <x:col min="11" max="11" width="11.329999923706055" hidden="0" customWidth="1"/>
    <x:col min="12" max="12" width="11.329999923706055" hidden="0" customWidth="1"/>
    <x:col min="13" max="13" width="11.5600004196167" hidden="0" customWidth="1"/>
    <x:col min="14" max="14" width="33.33000183105469" hidden="0" customWidth="1"/>
    <x:col min="15" max="15" width="40" hidden="0" customWidth="1"/>
    <x:col min="16" max="16" width="28.889999389648438" hidden="0" customWidth="1"/>
  </x:cols>
  <x:sheetData>
    <x:row r="1" ht="25.5" customHeight="1">
      <x:c r="A1" s="21" t="str">
        <x:v>Prefix reuse with radix cache enabled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</x:row>
    <x:row r="2" ht="21" customHeight="1">
      <x:c r="A2" s="23" t="str">
        <x:v>4,096 input / 128 output tokens at 85% of measured capacity; maximum running requests 128; prefill chunk 8,192. † denotes an invalid run.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</x:row>
    <x:row r="4" ht="43.5" customHeight="1">
      <x:c r="A4" s="24" t="str">
        <x:v>Setting</x:v>
      </x:c>
      <x:c r="B4" s="24" t="str">
        <x:v>Valid</x:v>
      </x:c>
      <x:c r="C4" s="24" t="str">
        <x:v>Throughput (req/s)</x:v>
      </x:c>
      <x:c r="D4" s="24" t="str">
        <x:v>Energy (J/request)</x:v>
      </x:c>
      <x:c r="E4" s="24" t="str">
        <x:v>p95 time to first token (ms)</x:v>
      </x:c>
      <x:c r="F4" s="24" t="str">
        <x:v>p95 time per output token (ms)</x:v>
      </x:c>
      <x:c r="G4" s="24" t="str">
        <x:v>p95 end-to-end latency (ms)</x:v>
      </x:c>
      <x:c r="H4" s="24" t="str">
        <x:v>Requests waiting (% of time)</x:v>
      </x:c>
      <x:c r="I4" s="24" t="str">
        <x:v>Total GPU power (W)</x:v>
      </x:c>
      <x:c r="J4" s="24" t="str">
        <x:v>GPU active time</x:v>
      </x:c>
      <x:c r="K4" s="24" t="str">
        <x:v>Tensor-core active time</x:v>
      </x:c>
      <x:c r="L4" s="24" t="str">
        <x:v>GPU memory active time</x:v>
      </x:c>
      <x:c r="M4" s="24" t="str">
        <x:v>Prefix-cache hit rate</x:v>
      </x:c>
      <x:c r="N4" s="24" t="str">
        <x:v>Run label</x:v>
      </x:c>
      <x:c r="O4" s="24" t="str">
        <x:v>Invalid reason</x:v>
      </x:c>
      <x:c r="P4" s="24" t="str">
        <x:v>Analysis treatment</x:v>
      </x:c>
    </x:row>
    <x:row r="5" ht="40.5" customHeight="1">
      <x:c r="A5" s="25" t="str">
        <x:f>'Raw Data'!B18</x:f>
        <x:v>0% / Cache on</x:v>
      </x:c>
      <x:c r="B5" s="26" t="str">
        <x:f>IF('Raw Data'!C18,"Yes","No")</x:f>
        <x:v>Yes</x:v>
      </x:c>
      <x:c r="C5" s="27" t="n">
        <x:f>'Raw Data'!E18</x:f>
        <x:v>11.808101202447329</x:v>
      </x:c>
      <x:c r="D5" s="27" t="n">
        <x:f>'Raw Data'!F18</x:f>
        <x:v>105.58448357651703</x:v>
      </x:c>
      <x:c r="E5" s="27" t="n">
        <x:f>'Raw Data'!G18</x:f>
        <x:v>1265.5305057764049</x:v>
      </x:c>
      <x:c r="F5" s="27" t="n">
        <x:f>'Raw Data'!H18</x:f>
        <x:v>56.95438159365705</x:v>
      </x:c>
      <x:c r="G5" s="27" t="n">
        <x:f>'Raw Data'!I18</x:f>
        <x:v>7682.469580788165</x:v>
      </x:c>
      <x:c r="H5" s="28" t="n">
        <x:f>'Raw Data'!J18</x:f>
        <x:v>0.44086021505376344</x:v>
      </x:c>
      <x:c r="I5" s="29" t="n">
        <x:f>'Raw Data'!K18</x:f>
        <x:v>1246.752267479651</x:v>
      </x:c>
      <x:c r="J5" s="28" t="n">
        <x:f>'Raw Data'!L18</x:f>
        <x:v>0.9289978448275862</x:v>
      </x:c>
      <x:c r="K5" s="28" t="n">
        <x:f>'Raw Data'!M18</x:f>
        <x:v>0.1572928607109363</x:v>
      </x:c>
      <x:c r="L5" s="28" t="n">
        <x:f>'Raw Data'!N18</x:f>
        <x:v>0.4611527505861279</x:v>
      </x:c>
      <x:c r="M5" s="28" t="n">
        <x:f>'Raw Data'!O18</x:f>
        <x:v>0</x:v>
      </x:c>
      <x:c r="N5" s="30" t="str">
        <x:f>'Raw Data'!D18</x:f>
        <x:v>s3-cold-PX0-mrr-128_chunk-8192_cache-on</x:v>
      </x:c>
      <x:c r="O5" s="30" t="str">
        <x:f>IF('Raw Data'!C18,"",'Raw Data'!P18)</x:f>
      </x:c>
      <x:c r="P5" s="30" t="str">
        <x:f>'Raw Data'!W18</x:f>
        <x:v>Primary comparison</x:v>
      </x:c>
    </x:row>
    <x:row r="6" ht="40.5" customHeight="1">
      <x:c r="A6" s="25" t="str">
        <x:f>'Raw Data'!B19</x:f>
        <x:v>50% / Cache on</x:v>
      </x:c>
      <x:c r="B6" s="26" t="str">
        <x:f>IF('Raw Data'!C19,"Yes","No")</x:f>
        <x:v>Yes</x:v>
      </x:c>
      <x:c r="C6" s="27" t="n">
        <x:f>'Raw Data'!E19</x:f>
        <x:v>11.919992320054458</x:v>
      </x:c>
      <x:c r="D6" s="27" t="n">
        <x:f>'Raw Data'!F19</x:f>
        <x:v>88.95051286764004</x:v>
      </x:c>
      <x:c r="E6" s="27" t="n">
        <x:f>'Raw Data'!G19</x:f>
        <x:v>221.23891338706028</x:v>
      </x:c>
      <x:c r="F6" s="27" t="n">
        <x:f>'Raw Data'!H19</x:f>
        <x:v>25.395412423361947</x:v>
      </x:c>
      <x:c r="G6" s="27" t="n">
        <x:f>'Raw Data'!I19</x:f>
        <x:v>3400.4773477092385</x:v>
      </x:c>
      <x:c r="H6" s="28" t="n">
        <x:f>'Raw Data'!J19</x:f>
        <x:v>0.010869565217391304</x:v>
      </x:c>
      <x:c r="I6" s="29" t="n">
        <x:f>'Raw Data'!K19</x:f>
        <x:v>1060.2894302471746</x:v>
      </x:c>
      <x:c r="J6" s="28" t="n">
        <x:f>'Raw Data'!L19</x:f>
        <x:v>0.9278508771929825</x:v>
      </x:c>
      <x:c r="K6" s="28" t="n">
        <x:f>'Raw Data'!M19</x:f>
        <x:v>0.10866733164534181</x:v>
      </x:c>
      <x:c r="L6" s="28" t="n">
        <x:f>'Raw Data'!N19</x:f>
        <x:v>0.4382897525414253</x:v>
      </x:c>
      <x:c r="M6" s="28" t="n">
        <x:f>'Raw Data'!O19</x:f>
        <x:v>0.3858695652173913</x:v>
      </x:c>
      <x:c r="N6" s="30" t="str">
        <x:f>'Raw Data'!D19</x:f>
        <x:v>s3-cold-PX50-mrr-128_chunk-8192_cache-on</x:v>
      </x:c>
      <x:c r="O6" s="30" t="str">
        <x:f>IF('Raw Data'!C19,"",'Raw Data'!P19)</x:f>
      </x:c>
      <x:c r="P6" s="30" t="str">
        <x:f>'Raw Data'!W19</x:f>
        <x:v>Primary comparison</x:v>
      </x:c>
    </x:row>
    <x:row r="7" ht="40.5" customHeight="1">
      <x:c r="A7" s="25" t="str">
        <x:f>'Raw Data'!B20</x:f>
        <x:v>87.5% / Cache on †</x:v>
      </x:c>
      <x:c r="B7" s="26" t="str">
        <x:f>IF('Raw Data'!C20,"Yes","No")</x:f>
        <x:v>No</x:v>
      </x:c>
      <x:c r="C7" s="27" t="n">
        <x:f>'Raw Data'!E20</x:f>
        <x:v>11.939282300279753</x:v>
      </x:c>
      <x:c r="D7" s="27" t="n">
        <x:f>'Raw Data'!F20</x:f>
        <x:v>72.38799080953879</x:v>
      </x:c>
      <x:c r="E7" s="27" t="n">
        <x:f>'Raw Data'!G20</x:f>
        <x:v>210.11657798662787</x:v>
      </x:c>
      <x:c r="F7" s="27" t="n">
        <x:f>'Raw Data'!H20</x:f>
        <x:v>20.111568400445655</x:v>
      </x:c>
      <x:c r="G7" s="27" t="n">
        <x:f>'Raw Data'!I20</x:f>
        <x:v>2685.4106995277107</x:v>
      </x:c>
      <x:c r="H7" s="28" t="n">
        <x:f>'Raw Data'!J20</x:f>
        <x:v>0.01098901098901099</x:v>
      </x:c>
      <x:c r="I7" s="29" t="n">
        <x:f>'Raw Data'!K20</x:f>
        <x:v>864.2606574251399</x:v>
      </x:c>
      <x:c r="J7" s="28" t="n">
        <x:f>'Raw Data'!L20</x:f>
        <x:v>0.8462527716186253</x:v>
      </x:c>
      <x:c r="K7" s="28" t="n">
        <x:f>'Raw Data'!M20</x:f>
        <x:v>0.058895052493452386</x:v>
      </x:c>
      <x:c r="L7" s="28" t="n">
        <x:f>'Raw Data'!N20</x:f>
        <x:v>0.3791245638094244</x:v>
      </x:c>
      <x:c r="M7" s="28" t="n">
        <x:f>'Raw Data'!O20</x:f>
        <x:v>0.5961538461538461</x:v>
      </x:c>
      <x:c r="N7" s="30" t="str">
        <x:f>'Raw Data'!D20</x:f>
        <x:v>s3-cold-PX87-mrr-128_chunk-8192_cache-on</x:v>
      </x:c>
      <x:c r="O7" s="30" t="str">
        <x:f>IF('Raw Data'!C20,"",'Raw Data'!P20)</x:f>
        <x:v>Telemetry quality: max gap 0.505 s (&gt;0.25); coverage 99.0%; energy cross-check error 0.78%.</x:v>
      </x:c>
      <x:c r="P7" s="30" t="str">
        <x:f>'Raw Data'!W20</x:f>
        <x:v>Include descriptively; telemetry gap</x:v>
      </x:c>
    </x:row>
  </x:sheetData>
  <x:mergeCells>
    <x:mergeCell ref="A1:P1"/>
    <x:mergeCell ref="A2:P2"/>
  </x:mergeCells>
  <x:conditionalFormatting sqref="A5:P7">
    <x:cfRule type="expression" dxfId="5" priority="1">
      <x:formula>$B5="No"</x:formula>
    </x:cfRule>
  </x:conditionalFormatting>
  <x:pageMargins left="0.7" right="0.7" top="0.75" bottom="0.75" header="0.3" footer="0.3"/>
  <x:drawing xmlns:r="http://schemas.openxmlformats.org/officeDocument/2006/relationships" r:id="Re471206a8bdd4460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2.779999732971191" hidden="0" customWidth="1"/>
    <x:col min="2" max="2" width="18.329999923706055" hidden="0" customWidth="1"/>
    <x:col min="3" max="3" width="6.670000076293945" hidden="0" customWidth="1"/>
    <x:col min="4" max="4" width="38.88999938964844" hidden="0" customWidth="1"/>
    <x:col min="5" max="5" width="12.779999732971191" hidden="0" customWidth="1"/>
    <x:col min="6" max="6" width="13.329999923706055" hidden="0" customWidth="1"/>
    <x:col min="7" max="7" width="11.670000076293945" hidden="0" customWidth="1"/>
    <x:col min="8" max="8" width="11.670000076293945" hidden="0" customWidth="1"/>
    <x:col min="9" max="9" width="11.670000076293945" hidden="0" customWidth="1"/>
    <x:col min="10" max="10" width="13.890000343322754" hidden="0" customWidth="1"/>
    <x:col min="11" max="11" width="13.329999923706055" hidden="0" customWidth="1"/>
    <x:col min="12" max="12" width="12.220000267028809" hidden="0" customWidth="1"/>
    <x:col min="13" max="13" width="13.890000343322754" hidden="0" customWidth="1"/>
    <x:col min="14" max="14" width="12.779999732971191" hidden="0" customWidth="1"/>
    <x:col min="15" max="15" width="11.670000076293945" hidden="0" customWidth="1"/>
    <x:col min="16" max="16" width="46.66999816894531" hidden="0" customWidth="1"/>
    <x:col min="17" max="17" width="15" hidden="0" customWidth="1"/>
    <x:col min="18" max="18" width="13.890000343322754" hidden="0" customWidth="1"/>
    <x:col min="19" max="19" width="16.110000610351562" hidden="0" customWidth="1"/>
    <x:col min="20" max="20" width="13.329999923706055" hidden="0" customWidth="1"/>
    <x:col min="21" max="21" width="13.329999923706055" hidden="0" customWidth="1"/>
    <x:col min="22" max="22" width="13.890000343322754" hidden="0" customWidth="1"/>
    <x:col min="23" max="23" width="28.889999389648438" hidden="0" customWidth="1"/>
  </x:cols>
  <x:sheetData>
    <x:row r="1" ht="43.5" customHeight="1">
      <x:c r="A1" s="5" t="str">
        <x:v>Experiment</x:v>
      </x:c>
      <x:c r="B1" s="5" t="str">
        <x:v>Setting</x:v>
      </x:c>
      <x:c r="C1" s="5" t="str">
        <x:v>Valid</x:v>
      </x:c>
      <x:c r="D1" s="5" t="str">
        <x:v>Run label</x:v>
      </x:c>
      <x:c r="E1" s="5" t="str">
        <x:v>Throughput (req/s)</x:v>
      </x:c>
      <x:c r="F1" s="5" t="str">
        <x:v>Energy (J/request)</x:v>
      </x:c>
      <x:c r="G1" s="5" t="str">
        <x:v>p95 time to first token (ms)</x:v>
      </x:c>
      <x:c r="H1" s="5" t="str">
        <x:v>p95 time per output token (ms)</x:v>
      </x:c>
      <x:c r="I1" s="5" t="str">
        <x:v>p95 end-to-end latency (ms)</x:v>
      </x:c>
      <x:c r="J1" s="5" t="str">
        <x:v>Time with requests waiting</x:v>
      </x:c>
      <x:c r="K1" s="5" t="str">
        <x:v>Total GPU power (W)</x:v>
      </x:c>
      <x:c r="L1" s="5" t="str">
        <x:v>GPU active time</x:v>
      </x:c>
      <x:c r="M1" s="5" t="str">
        <x:v>Tensor-core active time</x:v>
      </x:c>
      <x:c r="N1" s="5" t="str">
        <x:v>GPU memory active time</x:v>
      </x:c>
      <x:c r="O1" s="5" t="str">
        <x:v>Prefix-cache hit rate</x:v>
      </x:c>
      <x:c r="P1" s="5" t="str">
        <x:v>Invalid reason</x:v>
      </x:c>
      <x:c r="Q1" s="5" t="str">
        <x:v>Max GPU sample gap (s)</x:v>
      </x:c>
      <x:c r="R1" s="5" t="str">
        <x:v>GPU sample coverage</x:v>
      </x:c>
      <x:c r="S1" s="5" t="str">
        <x:v>Energy cross-check error</x:v>
      </x:c>
      <x:c r="T1" s="5" t="str">
        <x:v>Requested requests</x:v>
      </x:c>
      <x:c r="U1" s="5" t="str">
        <x:v>Successful requests</x:v>
      </x:c>
      <x:c r="V1" s="5" t="str">
        <x:v>Request success rate</x:v>
      </x:c>
      <x:c r="W1" s="5" t="str">
        <x:v>Analysis treatment</x:v>
      </x:c>
    </x:row>
    <x:row r="2" ht="40.5" customHeight="1">
      <x:c r="A2" s="8" t="str">
        <x:v>Offered load</x:v>
      </x:c>
      <x:c r="B2" s="8" t="str">
        <x:v>50%</x:v>
      </x:c>
      <x:c r="C2" s="9" t="b">
        <x:v>1</x:v>
      </x:c>
      <x:c r="D2" s="8" t="str">
        <x:v>s1-knee-0.50</x:v>
      </x:c>
      <x:c r="E2" s="10" t="n">
        <x:v>24.445841807635933</x:v>
      </x:c>
      <x:c r="F2" s="10" t="n">
        <x:v>37.795398222605385</x:v>
      </x:c>
      <x:c r="G2" s="10" t="n">
        <x:v>603.3651199191804</x:v>
      </x:c>
      <x:c r="H2" s="10" t="n">
        <x:v>37.79074141066375</x:v>
      </x:c>
      <x:c r="I2" s="10" t="n">
        <x:v>5089.9402137845755</x:v>
      </x:c>
      <x:c r="J2" s="11" t="n">
        <x:v>0.053763440860215055</x:v>
      </x:c>
      <x:c r="K2" s="10" t="n">
        <x:v>923.9403260064156</x:v>
      </x:c>
      <x:c r="L2" s="11" t="n">
        <x:v>0.785925925925926</x:v>
      </x:c>
      <x:c r="M2" s="11" t="n">
        <x:v>0.0696870609735103</x:v>
      </x:c>
      <x:c r="N2" s="11" t="n">
        <x:v>0.40915097692191393</x:v>
      </x:c>
      <x:c r="O2" s="11" t="n">
        <x:v>0</x:v>
      </x:c>
      <x:c r="P2" s="15" t="str"/>
      <x:c r="Q2" s="16" t="n">
        <x:v>0.10080289840698242</x:v>
      </x:c>
      <x:c r="R2" s="17" t="n">
        <x:v>0.9973903457515461</x:v>
      </x:c>
      <x:c r="S2" s="17" t="n">
        <x:v>0.0012386503993207921</x:v>
      </x:c>
      <x:c r="T2" s="18" t="n">
        <x:v>1125</x:v>
      </x:c>
      <x:c r="U2" s="18" t="n">
        <x:v>1125</x:v>
      </x:c>
      <x:c r="V2" s="17" t="n">
        <x:v>1</x:v>
      </x:c>
      <x:c r="W2" s="15" t="str">
        <x:v>Primary comparison</x:v>
      </x:c>
    </x:row>
    <x:row r="3" ht="40.5" customHeight="1">
      <x:c r="A3" s="8" t="str">
        <x:v>Offered load</x:v>
      </x:c>
      <x:c r="B3" s="8" t="str">
        <x:v>70%</x:v>
      </x:c>
      <x:c r="C3" s="9" t="b">
        <x:v>1</x:v>
      </x:c>
      <x:c r="D3" s="8" t="str">
        <x:v>s1-knee-0.70</x:v>
      </x:c>
      <x:c r="E3" s="10" t="n">
        <x:v>34.0010498797204</x:v>
      </x:c>
      <x:c r="F3" s="10" t="n">
        <x:v>31.13419859945053</x:v>
      </x:c>
      <x:c r="G3" s="10" t="n">
        <x:v>789.1574930399656</x:v>
      </x:c>
      <x:c r="H3" s="10" t="n">
        <x:v>31.41394018481566</x:v>
      </x:c>
      <x:c r="I3" s="10" t="n">
        <x:v>4272.760609164834</x:v>
      </x:c>
      <x:c r="J3" s="11" t="n">
        <x:v>0.4673913043478261</x:v>
      </x:c>
      <x:c r="K3" s="10" t="n">
        <x:v>1058.5954395450385</x:v>
      </x:c>
      <x:c r="L3" s="11" t="n">
        <x:v>0.8560303687635574</x:v>
      </x:c>
      <x:c r="M3" s="11" t="n">
        <x:v>0.08846816898780943</x:v>
      </x:c>
      <x:c r="N3" s="11" t="n">
        <x:v>0.4832384654326659</x:v>
      </x:c>
      <x:c r="O3" s="11" t="n">
        <x:v>0</x:v>
      </x:c>
      <x:c r="P3" s="15" t="str"/>
      <x:c r="Q3" s="16" t="n">
        <x:v>0.10101580619812012</x:v>
      </x:c>
      <x:c r="R3" s="17" t="n">
        <x:v>0.9977392740007067</x:v>
      </x:c>
      <x:c r="S3" s="17" t="n">
        <x:v>0.0031466316372796748</x:v>
      </x:c>
      <x:c r="T3" s="18" t="n">
        <x:v>1571</x:v>
      </x:c>
      <x:c r="U3" s="18" t="n">
        <x:v>1571</x:v>
      </x:c>
      <x:c r="V3" s="17" t="n">
        <x:v>1</x:v>
      </x:c>
      <x:c r="W3" s="15" t="str">
        <x:v>Primary comparison</x:v>
      </x:c>
    </x:row>
    <x:row r="4" ht="40.5" customHeight="1">
      <x:c r="A4" s="8" t="str">
        <x:v>Offered load</x:v>
      </x:c>
      <x:c r="B4" s="8" t="str">
        <x:v>85%</x:v>
      </x:c>
      <x:c r="C4" s="9" t="b">
        <x:v>1</x:v>
      </x:c>
      <x:c r="D4" s="8" t="str">
        <x:v>s1-knee-0.85</x:v>
      </x:c>
      <x:c r="E4" s="10" t="n">
        <x:v>40.970310431674406</x:v>
      </x:c>
      <x:c r="F4" s="10" t="n">
        <x:v>27.916172936169456</x:v>
      </x:c>
      <x:c r="G4" s="10" t="n">
        <x:v>1152.9723116196692</x:v>
      </x:c>
      <x:c r="H4" s="10" t="n">
        <x:v>25.81616459766358</x:v>
      </x:c>
      <x:c r="I4" s="10" t="n">
        <x:v>4027.479986101389</x:v>
      </x:c>
      <x:c r="J4" s="11" t="n">
        <x:v>0.7204301075268817</x:v>
      </x:c>
      <x:c r="K4" s="10" t="n">
        <x:v>1143.7342712591703</x:v>
      </x:c>
      <x:c r="L4" s="11" t="n">
        <x:v>0.9217558886509636</x:v>
      </x:c>
      <x:c r="M4" s="11" t="n">
        <x:v>0.0983158005249851</x:v>
      </x:c>
      <x:c r="N4" s="11" t="n">
        <x:v>0.5325891276910335</x:v>
      </x:c>
      <x:c r="O4" s="11" t="n">
        <x:v>0</x:v>
      </x:c>
      <x:c r="P4" s="15" t="str"/>
      <x:c r="Q4" s="16" t="n">
        <x:v>0.10040426254272461</x:v>
      </x:c>
      <x:c r="R4" s="17" t="n">
        <x:v>0.9996413255795167</x:v>
      </x:c>
      <x:c r="S4" s="17" t="n">
        <x:v>0.0033426137011807943</x:v>
      </x:c>
      <x:c r="T4" s="18" t="n">
        <x:v>1914</x:v>
      </x:c>
      <x:c r="U4" s="18" t="n">
        <x:v>1914</x:v>
      </x:c>
      <x:c r="V4" s="17" t="n">
        <x:v>1</x:v>
      </x:c>
      <x:c r="W4" s="15" t="str">
        <x:v>Primary comparison</x:v>
      </x:c>
    </x:row>
    <x:row r="5" ht="40.5" customHeight="1">
      <x:c r="A5" s="8" t="str">
        <x:v>Offered load</x:v>
      </x:c>
      <x:c r="B5" s="8" t="str">
        <x:v>95%</x:v>
      </x:c>
      <x:c r="C5" s="9" t="b">
        <x:v>1</x:v>
      </x:c>
      <x:c r="D5" s="8" t="str">
        <x:v>s1-knee-0.95</x:v>
      </x:c>
      <x:c r="E5" s="10" t="n">
        <x:v>45.58408528860253</x:v>
      </x:c>
      <x:c r="F5" s="10" t="n">
        <x:v>26.205121872047233</x:v>
      </x:c>
      <x:c r="G5" s="10" t="n">
        <x:v>1672.1060877665877</x:v>
      </x:c>
      <x:c r="H5" s="10" t="n">
        <x:v>23.906380179389487</x:v>
      </x:c>
      <x:c r="I5" s="10" t="n">
        <x:v>4233.120443765074</x:v>
      </x:c>
      <x:c r="J5" s="11" t="n">
        <x:v>0.9052631578947369</x:v>
      </x:c>
      <x:c r="K5" s="10" t="n">
        <x:v>1194.5365104136247</x:v>
      </x:c>
      <x:c r="L5" s="11" t="n">
        <x:v>0.9560570824524314</x:v>
      </x:c>
      <x:c r="M5" s="11" t="n">
        <x:v>0.10431714864669259</x:v>
      </x:c>
      <x:c r="N5" s="11" t="n">
        <x:v>0.5602813172875054</x:v>
      </x:c>
      <x:c r="O5" s="11" t="n">
        <x:v>0</x:v>
      </x:c>
      <x:c r="P5" s="15" t="str"/>
      <x:c r="Q5" s="16" t="n">
        <x:v>0.10032367706298828</x:v>
      </x:c>
      <x:c r="R5" s="17" t="n">
        <x:v>0.999132175232113</x:v>
      </x:c>
      <x:c r="S5" s="17" t="n">
        <x:v>0.004736511258467613</x:v>
      </x:c>
      <x:c r="T5" s="18" t="n">
        <x:v>2158</x:v>
      </x:c>
      <x:c r="U5" s="18" t="n">
        <x:v>2158</x:v>
      </x:c>
      <x:c r="V5" s="17" t="n">
        <x:v>1</x:v>
      </x:c>
      <x:c r="W5" s="15" t="str">
        <x:v>Primary comparison</x:v>
      </x:c>
    </x:row>
    <x:row r="6" ht="40.5" customHeight="1">
      <x:c r="A6" s="8" t="str">
        <x:v>Offered load</x:v>
      </x:c>
      <x:c r="B6" s="8" t="str">
        <x:v>105% †</x:v>
      </x:c>
      <x:c r="C6" s="9" t="b">
        <x:v>0</x:v>
      </x:c>
      <x:c r="D6" s="8" t="str">
        <x:v>s1-knee-1.05</x:v>
      </x:c>
      <x:c r="E6" s="10" t="n">
        <x:v>47.99589698342319</x:v>
      </x:c>
      <x:c r="F6" s="10" t="n">
        <x:v>25.204697135525183</x:v>
      </x:c>
      <x:c r="G6" s="10" t="n">
        <x:v>3574.3215415626764</x:v>
      </x:c>
      <x:c r="H6" s="10" t="n">
        <x:v>23.20054423533321</x:v>
      </x:c>
      <x:c r="I6" s="10" t="n">
        <x:v>5854.292510543019</x:v>
      </x:c>
      <x:c r="J6" s="11" t="n">
        <x:v>0.9292929292929293</x:v>
      </x:c>
      <x:c r="K6" s="10" t="n">
        <x:v>1209.7220472150482</x:v>
      </x:c>
      <x:c r="L6" s="11" t="n">
        <x:v>0.9665682281059063</x:v>
      </x:c>
      <x:c r="M6" s="11" t="n">
        <x:v>0.10534732380098992</x:v>
      </x:c>
      <x:c r="N6" s="11" t="n">
        <x:v>0.5632787761835677</x:v>
      </x:c>
      <x:c r="O6" s="11" t="n">
        <x:v>0</x:v>
      </x:c>
      <x:c r="P6" s="15" t="str">
        <x:v>Telemetry quality: max gap 0.479 s (&gt;0.25); coverage 99.3%; energy cross-check error 0.27%.</x:v>
      </x:c>
      <x:c r="Q6" s="16" t="n">
        <x:v>0.4791748523712158</x:v>
      </x:c>
      <x:c r="R6" s="17" t="n">
        <x:v>0.9926699839452731</x:v>
      </x:c>
      <x:c r="S6" s="17" t="n">
        <x:v>0.0026773284748756363</x:v>
      </x:c>
      <x:c r="T6" s="18" t="n">
        <x:v>2374</x:v>
      </x:c>
      <x:c r="U6" s="18" t="n">
        <x:v>2374</x:v>
      </x:c>
      <x:c r="V6" s="17" t="n">
        <x:v>1</x:v>
      </x:c>
      <x:c r="W6" s="15" t="str">
        <x:v>Include descriptively; telemetry gap</x:v>
      </x:c>
    </x:row>
    <x:row r="7" ht="40.5" customHeight="1">
      <x:c r="A7" s="8" t="str">
        <x:v>MRR</x:v>
      </x:c>
      <x:c r="B7" s="8" t="str">
        <x:v>32 †</x:v>
      </x:c>
      <x:c r="C7" s="9" t="b">
        <x:v>0</x:v>
      </x:c>
      <x:c r="D7" s="8" t="str">
        <x:v>s1-mrr-screen-mrr-32_chunk-8192_cache-off</x:v>
      </x:c>
      <x:c r="E7" s="10" t="n">
        <x:v>22.009941718054325</x:v>
      </x:c>
      <x:c r="F7" s="10" t="n">
        <x:v>43.023219260788196</x:v>
      </x:c>
      <x:c r="G7" s="10" t="n">
        <x:v>35292.89305862039</x:v>
      </x:c>
      <x:c r="H7" s="10" t="n">
        <x:v>11.151421023166087</x:v>
      </x:c>
      <x:c r="I7" s="10" t="n">
        <x:v>36598.172401078045</x:v>
      </x:c>
      <x:c r="J7" s="11" t="n">
        <x:v>0.9866666666666667</x:v>
      </x:c>
      <x:c r="K7" s="10" t="n">
        <x:v>946.9385484530204</x:v>
      </x:c>
      <x:c r="L7" s="11" t="n">
        <x:v>0.981214953271028</x:v>
      </x:c>
      <x:c r="M7" s="11" t="n">
        <x:v>0.06162530155963006</x:v>
      </x:c>
      <x:c r="N7" s="11" t="n">
        <x:v>0.4465121751317829</x:v>
      </x:c>
      <x:c r="O7" s="11" t="n">
        <x:v>0</x:v>
      </x:c>
      <x:c r="P7" s="15" t="str">
        <x:v>Request quality: watchdog triggered; 385 of 2,036 requests failed (81.1% success).</x:v>
      </x:c>
      <x:c r="Q7" s="16" t="n">
        <x:v>0.1004488468170166</x:v>
      </x:c>
      <x:c r="R7" s="17" t="n">
        <x:v>0.998512801140078</x:v>
      </x:c>
      <x:c r="S7" s="17" t="n">
        <x:v>0.0019359936678272109</x:v>
      </x:c>
      <x:c r="T7" s="18" t="n">
        <x:v>2036</x:v>
      </x:c>
      <x:c r="U7" s="18" t="n">
        <x:v>1651</x:v>
      </x:c>
      <x:c r="V7" s="17" t="n">
        <x:v>0.8109037328094303</x:v>
      </x:c>
      <x:c r="W7" s="15" t="str">
        <x:v>Descriptive only; request failures</x:v>
      </x:c>
    </x:row>
    <x:row r="8" ht="40.5" customHeight="1">
      <x:c r="A8" s="8" t="str">
        <x:v>MRR</x:v>
      </x:c>
      <x:c r="B8" s="8" t="str">
        <x:v>64</x:v>
      </x:c>
      <x:c r="C8" s="9" t="b">
        <x:v>1</x:v>
      </x:c>
      <x:c r="D8" s="8" t="str">
        <x:v>s1-mrr-screen-mrr-64_chunk-8192_cache-off</x:v>
      </x:c>
      <x:c r="E8" s="10" t="n">
        <x:v>35.537329678544374</x:v>
      </x:c>
      <x:c r="F8" s="10" t="n">
        <x:v>31.08101620819339</x:v>
      </x:c>
      <x:c r="G8" s="10" t="n">
        <x:v>10990.635237656534</x:v>
      </x:c>
      <x:c r="H8" s="10" t="n">
        <x:v>14.297452641607034</x:v>
      </x:c>
      <x:c r="I8" s="10" t="n">
        <x:v>12357.051199302077</x:v>
      </x:c>
      <x:c r="J8" s="11" t="n">
        <x:v>0.956140350877193</x:v>
      </x:c>
      <x:c r="K8" s="10" t="n">
        <x:v>1104.5363197347497</x:v>
      </x:c>
      <x:c r="L8" s="11" t="n">
        <x:v>0.9632984293193718</x:v>
      </x:c>
      <x:c r="M8" s="11" t="n">
        <x:v>0.08917514685018688</x:v>
      </x:c>
      <x:c r="N8" s="11" t="n">
        <x:v>0.5410190264201111</x:v>
      </x:c>
      <x:c r="O8" s="11" t="n">
        <x:v>0</x:v>
      </x:c>
      <x:c r="P8" s="15" t="str"/>
      <x:c r="Q8" s="16" t="n">
        <x:v>0.10042023658752441</x:v>
      </x:c>
      <x:c r="R8" s="17" t="n">
        <x:v>1.0001419403637488</x:v>
      </x:c>
      <x:c r="S8" s="17" t="n">
        <x:v>0.002397920777342195</x:v>
      </x:c>
      <x:c r="T8" s="18" t="n">
        <x:v>2036</x:v>
      </x:c>
      <x:c r="U8" s="18" t="n">
        <x:v>2036</x:v>
      </x:c>
      <x:c r="V8" s="17" t="n">
        <x:v>1</x:v>
      </x:c>
      <x:c r="W8" s="15" t="str">
        <x:v>Primary comparison</x:v>
      </x:c>
    </x:row>
    <x:row r="9" ht="40.5" customHeight="1">
      <x:c r="A9" s="8" t="str">
        <x:v>MRR</x:v>
      </x:c>
      <x:c r="B9" s="8" t="str">
        <x:v>128</x:v>
      </x:c>
      <x:c r="C9" s="9" t="b">
        <x:v>1</x:v>
      </x:c>
      <x:c r="D9" s="8" t="str">
        <x:v>s1-mrr-screen-mrr-128_chunk-8192_cache-off</x:v>
      </x:c>
      <x:c r="E9" s="10" t="n">
        <x:v>43.361568344875806</x:v>
      </x:c>
      <x:c r="F9" s="10" t="n">
        <x:v>26.769869351668067</x:v>
      </x:c>
      <x:c r="G9" s="10" t="n">
        <x:v>1478.8447208702564</x:v>
      </x:c>
      <x:c r="H9" s="10" t="n">
        <x:v>24.998279673406692</x:v>
      </x:c>
      <x:c r="I9" s="10" t="n">
        <x:v>4241.659091319889</x:v>
      </x:c>
      <x:c r="J9" s="11" t="n">
        <x:v>0.776595744680851</x:v>
      </x:c>
      <x:c r="K9" s="10" t="n">
        <x:v>1160.783519475751</x:v>
      </x:c>
      <x:c r="L9" s="11" t="n">
        <x:v>0.9354584221748401</x:v>
      </x:c>
      <x:c r="M9" s="11" t="n">
        <x:v>0.10310779358691216</x:v>
      </x:c>
      <x:c r="N9" s="11" t="n">
        <x:v>0.5416887104835048</x:v>
      </x:c>
      <x:c r="O9" s="11" t="n">
        <x:v>0</x:v>
      </x:c>
      <x:c r="P9" s="15" t="str"/>
      <x:c r="Q9" s="16" t="n">
        <x:v>0.10069966316223145</x:v>
      </x:c>
      <x:c r="R9" s="17" t="n">
        <x:v>0.9988494869227286</x:v>
      </x:c>
      <x:c r="S9" s="17" t="n">
        <x:v>0.0018773667734067114</x:v>
      </x:c>
      <x:c r="T9" s="18" t="n">
        <x:v>2036</x:v>
      </x:c>
      <x:c r="U9" s="18" t="n">
        <x:v>2036</x:v>
      </x:c>
      <x:c r="V9" s="17" t="n">
        <x:v>1</x:v>
      </x:c>
      <x:c r="W9" s="15" t="str">
        <x:v>Primary comparison</x:v>
      </x:c>
    </x:row>
    <x:row r="10" ht="40.5" customHeight="1">
      <x:c r="A10" s="8" t="str">
        <x:v>MRR</x:v>
      </x:c>
      <x:c r="B10" s="8" t="str">
        <x:v>256</x:v>
      </x:c>
      <x:c r="C10" s="9" t="b">
        <x:v>1</x:v>
      </x:c>
      <x:c r="D10" s="8" t="str">
        <x:v>s1-mrr-screen-mrr-256_chunk-8192_cache-off</x:v>
      </x:c>
      <x:c r="E10" s="10" t="n">
        <x:v>43.38407596362329</x:v>
      </x:c>
      <x:c r="F10" s="10" t="n">
        <x:v>25.869375245744447</x:v>
      </x:c>
      <x:c r="G10" s="10" t="n">
        <x:v>1400.5666747689247</x:v>
      </x:c>
      <x:c r="H10" s="10" t="n">
        <x:v>50.25299512011212</x:v>
      </x:c>
      <x:c r="I10" s="10" t="n">
        <x:v>6886.456418316811</x:v>
      </x:c>
      <x:c r="J10" s="11" t="n">
        <x:v>0.4574468085106383</x:v>
      </x:c>
      <x:c r="K10" s="10" t="n">
        <x:v>1122.318940792853</x:v>
      </x:c>
      <x:c r="L10" s="11" t="n">
        <x:v>0.870682302771855</x:v>
      </x:c>
      <x:c r="M10" s="11" t="n">
        <x:v>0.10044222859282614</x:v>
      </x:c>
      <x:c r="N10" s="11" t="n">
        <x:v>0.49137705314730495</x:v>
      </x:c>
      <x:c r="O10" s="11" t="n">
        <x:v>0</x:v>
      </x:c>
      <x:c r="P10" s="15" t="str"/>
      <x:c r="Q10" s="16" t="n">
        <x:v>0.10030651092529297</x:v>
      </x:c>
      <x:c r="R10" s="17" t="n">
        <x:v>0.9993679581011455</x:v>
      </x:c>
      <x:c r="S10" s="17" t="n">
        <x:v>0.00027383546301549687</x:v>
      </x:c>
      <x:c r="T10" s="18" t="n">
        <x:v>2036</x:v>
      </x:c>
      <x:c r="U10" s="18" t="n">
        <x:v>2036</x:v>
      </x:c>
      <x:c r="V10" s="17" t="n">
        <x:v>1</x:v>
      </x:c>
      <x:c r="W10" s="15" t="str">
        <x:v>Primary comparison</x:v>
      </x:c>
    </x:row>
    <x:row r="11" ht="40.5" customHeight="1">
      <x:c r="A11" s="8" t="str">
        <x:v>Chunked prefill</x:v>
      </x:c>
      <x:c r="B11" s="8" t="str">
        <x:v>Disabled</x:v>
      </x:c>
      <x:c r="C11" s="9" t="b">
        <x:v>1</x:v>
      </x:c>
      <x:c r="D11" s="8" t="str">
        <x:v>s2-chunk-screen-mrr-128_chunk--1_cache-off</x:v>
      </x:c>
      <x:c r="E11" s="10" t="n">
        <x:v>6.326069927938605</x:v>
      </x:c>
      <x:c r="F11" s="10" t="n">
        <x:v>194.75731186301022</x:v>
      </x:c>
      <x:c r="G11" s="10" t="n">
        <x:v>831.0896800830961</x:v>
      </x:c>
      <x:c r="H11" s="10" t="n">
        <x:v>58.42961005602531</x:v>
      </x:c>
      <x:c r="I11" s="10" t="n">
        <x:v>7736.897653713824</x:v>
      </x:c>
      <x:c r="J11" s="11" t="n">
        <x:v>0.1827956989247312</x:v>
      </x:c>
      <x:c r="K11" s="10" t="n">
        <x:v>1232.0483738227495</x:v>
      </x:c>
      <x:c r="L11" s="11" t="n">
        <x:v>0.9590967741935484</x:v>
      </x:c>
      <x:c r="M11" s="11" t="n">
        <x:v>0.17721283999179907</x:v>
      </x:c>
      <x:c r="N11" s="11" t="n">
        <x:v>0.4296167794673621</x:v>
      </x:c>
      <x:c r="O11" s="11" t="n">
        <x:v>0</x:v>
      </x:c>
      <x:c r="P11" s="15" t="str"/>
      <x:c r="Q11" s="16" t="n">
        <x:v>0.10076165199279785</x:v>
      </x:c>
      <x:c r="R11" s="17" t="n">
        <x:v>0.9971601750818478</x:v>
      </x:c>
      <x:c r="S11" s="17" t="n">
        <x:v>0.0010437022713182679</x:v>
      </x:c>
      <x:c r="T11" s="18" t="n">
        <x:v>295</x:v>
      </x:c>
      <x:c r="U11" s="18" t="n">
        <x:v>295</x:v>
      </x:c>
      <x:c r="V11" s="17" t="n">
        <x:v>1</x:v>
      </x:c>
      <x:c r="W11" s="15" t="str">
        <x:v>Primary comparison</x:v>
      </x:c>
    </x:row>
    <x:row r="12" ht="40.5" customHeight="1">
      <x:c r="A12" s="8" t="str">
        <x:v>Chunked prefill</x:v>
      </x:c>
      <x:c r="B12" s="8" t="str">
        <x:v>2,048</x:v>
      </x:c>
      <x:c r="C12" s="9" t="b">
        <x:v>1</x:v>
      </x:c>
      <x:c r="D12" s="8" t="str">
        <x:v>s2-chunk-screen-mrr-128_chunk-2048_cache-off</x:v>
      </x:c>
      <x:c r="E12" s="10" t="n">
        <x:v>5.595638031426788</x:v>
      </x:c>
      <x:c r="F12" s="10" t="n">
        <x:v>220.71359321949845</x:v>
      </x:c>
      <x:c r="G12" s="10" t="n">
        <x:v>5555.318632908173</x:v>
      </x:c>
      <x:c r="H12" s="10" t="n">
        <x:v>169.25070192664862</x:v>
      </x:c>
      <x:c r="I12" s="10" t="n">
        <x:v>24707.659987732768</x:v>
      </x:c>
      <x:c r="J12" s="11" t="n">
        <x:v>0.9428571428571428</x:v>
      </x:c>
      <x:c r="K12" s="10" t="n">
        <x:v>1235.0333762718874</x:v>
      </x:c>
      <x:c r="L12" s="11" t="n">
        <x:v>0.9210815939278937</x:v>
      </x:c>
      <x:c r="M12" s="11" t="n">
        <x:v>0.17151337823528817</x:v>
      </x:c>
      <x:c r="N12" s="11" t="n">
        <x:v>0.4309708788890593</x:v>
      </x:c>
      <x:c r="O12" s="11" t="n">
        <x:v>0</x:v>
      </x:c>
      <x:c r="P12" s="15" t="str"/>
      <x:c r="Q12" s="16" t="n">
        <x:v>0.10065650939941406</x:v>
      </x:c>
      <x:c r="R12" s="17" t="n">
        <x:v>0.9996275398514974</x:v>
      </x:c>
      <x:c r="S12" s="17" t="n">
        <x:v>0.0007023672955506671</x:v>
      </x:c>
      <x:c r="T12" s="18" t="n">
        <x:v>295</x:v>
      </x:c>
      <x:c r="U12" s="18" t="n">
        <x:v>295</x:v>
      </x:c>
      <x:c r="V12" s="17" t="n">
        <x:v>1</x:v>
      </x:c>
      <x:c r="W12" s="15" t="str">
        <x:v>Primary comparison</x:v>
      </x:c>
    </x:row>
    <x:row r="13" ht="40.5" customHeight="1">
      <x:c r="A13" s="8" t="str">
        <x:v>Chunked prefill</x:v>
      </x:c>
      <x:c r="B13" s="8" t="str">
        <x:v>4,096 †</x:v>
      </x:c>
      <x:c r="C13" s="9" t="b">
        <x:v>0</x:v>
      </x:c>
      <x:c r="D13" s="8" t="str">
        <x:v>s2-chunk-screen-mrr-128_chunk-4096_cache-off</x:v>
      </x:c>
      <x:c r="E13" s="10" t="n">
        <x:v>6.19273165046296</x:v>
      </x:c>
      <x:c r="F13" s="10" t="n">
        <x:v>205.77484067819887</x:v>
      </x:c>
      <x:c r="G13" s="10" t="n">
        <x:v>1103.2081995159388</x:v>
      </x:c>
      <x:c r="H13" s="10" t="n">
        <x:v>132.0090960007249</x:v>
      </x:c>
      <x:c r="I13" s="10" t="n">
        <x:v>17059.310399740934</x:v>
      </x:c>
      <x:c r="J13" s="11" t="n">
        <x:v>0.5578947368421052</x:v>
      </x:c>
      <x:c r="K13" s="10" t="n">
        <x:v>1274.308368736855</x:v>
      </x:c>
      <x:c r="L13" s="11" t="n">
        <x:v>0.9354449152542372</x:v>
      </x:c>
      <x:c r="M13" s="11" t="n">
        <x:v>0.17208438751602856</x:v>
      </x:c>
      <x:c r="N13" s="11" t="n">
        <x:v>0.4459406701620918</x:v>
      </x:c>
      <x:c r="O13" s="11" t="n">
        <x:v>0</x:v>
      </x:c>
      <x:c r="P13" s="15" t="str">
        <x:v>Telemetry quality: max gap 0.328 s (&gt;0.25); coverage 99.1%; energy cross-check error 0.47%.</x:v>
      </x:c>
      <x:c r="Q13" s="16" t="n">
        <x:v>0.32830286026000977</x:v>
      </x:c>
      <x:c r="R13" s="17" t="n">
        <x:v>0.9908370640740737</x:v>
      </x:c>
      <x:c r="S13" s="17" t="n">
        <x:v>0.004664811191186447</x:v>
      </x:c>
      <x:c r="T13" s="18" t="n">
        <x:v>295</x:v>
      </x:c>
      <x:c r="U13" s="18" t="n">
        <x:v>295</x:v>
      </x:c>
      <x:c r="V13" s="17" t="n">
        <x:v>1</x:v>
      </x:c>
      <x:c r="W13" s="15" t="str">
        <x:v>Include descriptively; telemetry gap</x:v>
      </x:c>
    </x:row>
    <x:row r="14" ht="40.5" customHeight="1">
      <x:c r="A14" s="8" t="str">
        <x:v>Chunked prefill</x:v>
      </x:c>
      <x:c r="B14" s="8" t="str">
        <x:v>8,192</x:v>
      </x:c>
      <x:c r="C14" s="9" t="b">
        <x:v>1</x:v>
      </x:c>
      <x:c r="D14" s="8" t="str">
        <x:v>s2-chunk-screen-mrr-128_chunk-8192_cache-off</x:v>
      </x:c>
      <x:c r="E14" s="10" t="n">
        <x:v>6.275848783127812</x:v>
      </x:c>
      <x:c r="F14" s="10" t="n">
        <x:v>199.86678304995522</x:v>
      </x:c>
      <x:c r="G14" s="10" t="n">
        <x:v>839.5384322851896</x:v>
      </x:c>
      <x:c r="H14" s="10" t="n">
        <x:v>77.45326419368268</x:v>
      </x:c>
      <x:c r="I14" s="10" t="n">
        <x:v>10112.50263992697</x:v>
      </x:c>
      <x:c r="J14" s="11" t="n">
        <x:v>0.30851063829787234</x:v>
      </x:c>
      <x:c r="K14" s="10" t="n">
        <x:v>1254.333707191732</x:v>
      </x:c>
      <x:c r="L14" s="11" t="n">
        <x:v>0.9674413646055438</x:v>
      </x:c>
      <x:c r="M14" s="11" t="n">
        <x:v>0.17293843691358787</x:v>
      </x:c>
      <x:c r="N14" s="11" t="n">
        <x:v>0.4395836192530189</x:v>
      </x:c>
      <x:c r="O14" s="11" t="n">
        <x:v>0</x:v>
      </x:c>
      <x:c r="P14" s="15" t="str"/>
      <x:c r="Q14" s="16" t="n">
        <x:v>0.1037299633026123</x:v>
      </x:c>
      <x:c r="R14" s="17" t="n">
        <x:v>0.997753586198964</x:v>
      </x:c>
      <x:c r="S14" s="17" t="n">
        <x:v>0.0011569689339021663</x:v>
      </x:c>
      <x:c r="T14" s="18" t="n">
        <x:v>295</x:v>
      </x:c>
      <x:c r="U14" s="18" t="n">
        <x:v>295</x:v>
      </x:c>
      <x:c r="V14" s="17" t="n">
        <x:v>1</x:v>
      </x:c>
      <x:c r="W14" s="15" t="str">
        <x:v>Primary comparison</x:v>
      </x:c>
    </x:row>
    <x:row r="15" ht="40.5" customHeight="1">
      <x:c r="A15" s="8" t="str">
        <x:v>Radix/prefix</x:v>
      </x:c>
      <x:c r="B15" s="8" t="str">
        <x:v>0% / Cache off</x:v>
      </x:c>
      <x:c r="C15" s="9" t="b">
        <x:v>1</x:v>
      </x:c>
      <x:c r="D15" s="8" t="str">
        <x:v>s3-cold-PX0-mrr-128_chunk-8192_cache-off</x:v>
      </x:c>
      <x:c r="E15" s="10" t="n">
        <x:v>11.837328327656428</x:v>
      </x:c>
      <x:c r="F15" s="10" t="n">
        <x:v>106.94614598524832</x:v>
      </x:c>
      <x:c r="G15" s="10" t="n">
        <x:v>798.1028161011636</x:v>
      </x:c>
      <x:c r="H15" s="10" t="n">
        <x:v>68.58657193553493</x:v>
      </x:c>
      <x:c r="I15" s="10" t="n">
        <x:v>9007.900548540056</x:v>
      </x:c>
      <x:c r="J15" s="11" t="n">
        <x:v>0.17391304347826086</x:v>
      </x:c>
      <x:c r="K15" s="10" t="n">
        <x:v>1265.9566434048595</x:v>
      </x:c>
      <x:c r="L15" s="11" t="n">
        <x:v>0.9637445887445888</x:v>
      </x:c>
      <x:c r="M15" s="11" t="n">
        <x:v>0.16327154847129308</x:v>
      </x:c>
      <x:c r="N15" s="11" t="n">
        <x:v>0.4781801273933388</x:v>
      </x:c>
      <x:c r="O15" s="11" t="n">
        <x:v>0</x:v>
      </x:c>
      <x:c r="P15" s="15" t="str"/>
      <x:c r="Q15" s="16" t="n">
        <x:v>0.10052633285522461</x:v>
      </x:c>
      <x:c r="R15" s="17" t="n">
        <x:v>0.9979645414922024</x:v>
      </x:c>
      <x:c r="S15" s="17" t="n">
        <x:v>0.005275585714728995</x:v>
      </x:c>
      <x:c r="T15" s="18" t="n">
        <x:v>548</x:v>
      </x:c>
      <x:c r="U15" s="18" t="n">
        <x:v>548</x:v>
      </x:c>
      <x:c r="V15" s="17" t="n">
        <x:v>1</x:v>
      </x:c>
      <x:c r="W15" s="15" t="str">
        <x:v>Primary comparison</x:v>
      </x:c>
    </x:row>
    <x:row r="16" ht="40.5" customHeight="1">
      <x:c r="A16" s="8" t="str">
        <x:v>Radix/prefix</x:v>
      </x:c>
      <x:c r="B16" s="8" t="str">
        <x:v>50% / Cache off †</x:v>
      </x:c>
      <x:c r="C16" s="9" t="b">
        <x:v>0</x:v>
      </x:c>
      <x:c r="D16" s="8" t="str">
        <x:v>s3-cold-PX50-mrr-128_chunk-8192_cache-off</x:v>
      </x:c>
      <x:c r="E16" s="10" t="n">
        <x:v>11.23118284426017</x:v>
      </x:c>
      <x:c r="F16" s="10" t="n">
        <x:v>102.22056985252044</x:v>
      </x:c>
      <x:c r="G16" s="10" t="n">
        <x:v>7570.720574259758</x:v>
      </x:c>
      <x:c r="H16" s="10" t="n">
        <x:v>130.47115321630451</x:v>
      </x:c>
      <x:c r="I16" s="10" t="n">
        <x:v>16778.06106377393</x:v>
      </x:c>
      <x:c r="J16" s="11" t="n">
        <x:v>0.6597938144329897</x:v>
      </x:c>
      <x:c r="K16" s="10" t="n">
        <x:v>1148.057910458126</x:v>
      </x:c>
      <x:c r="L16" s="11" t="n">
        <x:v>0.957450495049505</x:v>
      </x:c>
      <x:c r="M16" s="11" t="n">
        <x:v>0.18237300119917124</x:v>
      </x:c>
      <x:c r="N16" s="11" t="n">
        <x:v>0.47425375441181983</x:v>
      </x:c>
      <x:c r="O16" s="11" t="n">
        <x:v>0</x:v>
      </x:c>
      <x:c r="P16" s="15" t="str">
        <x:v>Telemetry quality: max gap 8.046 s; coverage 83.4% (&lt;98%); energy cross-check error 2.75% (&gt;2%).</x:v>
      </x:c>
      <x:c r="Q16" s="16" t="n">
        <x:v>8.045697927474976</x:v>
      </x:c>
      <x:c r="R16" s="17" t="n">
        <x:v>0.8340804906399097</x:v>
      </x:c>
      <x:c r="S16" s="17" t="n">
        <x:v>0.027503362119937355</x:v>
      </x:c>
      <x:c r="T16" s="18" t="n">
        <x:v>544</x:v>
      </x:c>
      <x:c r="U16" s="18" t="n">
        <x:v>544</x:v>
      </x:c>
      <x:c r="V16" s="17" t="n">
        <x:v>1</x:v>
      </x:c>
      <x:c r="W16" s="15" t="str">
        <x:v>Diagnostic only; exclude from primary energy</x:v>
      </x:c>
    </x:row>
    <x:row r="17" ht="40.5" customHeight="1">
      <x:c r="A17" s="8" t="str">
        <x:v>Radix/prefix</x:v>
      </x:c>
      <x:c r="B17" s="8" t="str">
        <x:v>87.5% / Cache off †</x:v>
      </x:c>
      <x:c r="C17" s="9" t="b">
        <x:v>0</x:v>
      </x:c>
      <x:c r="D17" s="8" t="str">
        <x:v>s3-cold-PX87-mrr-128_chunk-8192_cache-off</x:v>
      </x:c>
      <x:c r="E17" s="10" t="n">
        <x:v>11.834629471248926</x:v>
      </x:c>
      <x:c r="F17" s="10" t="n">
        <x:v>108.04172324782368</x:v>
      </x:c>
      <x:c r="G17" s="10" t="n">
        <x:v>463.4062558412552</x:v>
      </x:c>
      <x:c r="H17" s="10" t="n">
        <x:v>67.38232032241899</x:v>
      </x:c>
      <x:c r="I17" s="10" t="n">
        <x:v>8745.384279731657</x:v>
      </x:c>
      <x:c r="J17" s="11" t="n">
        <x:v>0.16304347826086957</x:v>
      </x:c>
      <x:c r="K17" s="10" t="n">
        <x:v>1278.6337620732143</x:v>
      </x:c>
      <x:c r="L17" s="11" t="n">
        <x:v>0.962772925764192</x:v>
      </x:c>
      <x:c r="M17" s="11" t="n">
        <x:v>0.1639243184646974</x:v>
      </x:c>
      <x:c r="N17" s="11" t="n">
        <x:v>0.47303768108942584</x:v>
      </x:c>
      <x:c r="O17" s="11" t="n">
        <x:v>0</x:v>
      </x:c>
      <x:c r="P17" s="15" t="str">
        <x:v>Request quality: 2 of 544 failed (99.6% success); errors were server disconnect/reset.</x:v>
      </x:c>
      <x:c r="Q17" s="16" t="n">
        <x:v>0.10043764114379883</x:v>
      </x:c>
      <x:c r="R17" s="17" t="n">
        <x:v>1.0000480254302597</x:v>
      </x:c>
      <x:c r="S17" s="17" t="n">
        <x:v>0.0025466594613971077</x:v>
      </x:c>
      <x:c r="T17" s="18" t="n">
        <x:v>544</x:v>
      </x:c>
      <x:c r="U17" s="18" t="n">
        <x:v>542</x:v>
      </x:c>
      <x:c r="V17" s="17" t="n">
        <x:v>0.9963235294117647</x:v>
      </x:c>
      <x:c r="W17" s="15" t="str">
        <x:v>Include with caveat; 99.6% success</x:v>
      </x:c>
    </x:row>
    <x:row r="18" ht="40.5" customHeight="1">
      <x:c r="A18" s="8" t="str">
        <x:v>Radix/prefix</x:v>
      </x:c>
      <x:c r="B18" s="8" t="str">
        <x:v>0% / Cache on</x:v>
      </x:c>
      <x:c r="C18" s="9" t="b">
        <x:v>1</x:v>
      </x:c>
      <x:c r="D18" s="8" t="str">
        <x:v>s3-cold-PX0-mrr-128_chunk-8192_cache-on</x:v>
      </x:c>
      <x:c r="E18" s="10" t="n">
        <x:v>11.808101202447329</x:v>
      </x:c>
      <x:c r="F18" s="10" t="n">
        <x:v>105.58448357651703</x:v>
      </x:c>
      <x:c r="G18" s="10" t="n">
        <x:v>1265.5305057764049</x:v>
      </x:c>
      <x:c r="H18" s="10" t="n">
        <x:v>56.95438159365705</x:v>
      </x:c>
      <x:c r="I18" s="10" t="n">
        <x:v>7682.469580788165</x:v>
      </x:c>
      <x:c r="J18" s="11" t="n">
        <x:v>0.44086021505376344</x:v>
      </x:c>
      <x:c r="K18" s="10" t="n">
        <x:v>1246.752267479651</x:v>
      </x:c>
      <x:c r="L18" s="11" t="n">
        <x:v>0.9289978448275862</x:v>
      </x:c>
      <x:c r="M18" s="11" t="n">
        <x:v>0.1572928607109363</x:v>
      </x:c>
      <x:c r="N18" s="11" t="n">
        <x:v>0.4611527505861279</x:v>
      </x:c>
      <x:c r="O18" s="11" t="n">
        <x:v>0</x:v>
      </x:c>
      <x:c r="P18" s="15" t="str"/>
      <x:c r="Q18" s="16" t="n">
        <x:v>0.10053324699401855</x:v>
      </x:c>
      <x:c r="R18" s="17" t="n">
        <x:v>0.9998100288203579</x:v>
      </x:c>
      <x:c r="S18" s="17" t="n">
        <x:v>0.000005600648295486553</x:v>
      </x:c>
      <x:c r="T18" s="18" t="n">
        <x:v>548</x:v>
      </x:c>
      <x:c r="U18" s="18" t="n">
        <x:v>548</x:v>
      </x:c>
      <x:c r="V18" s="17" t="n">
        <x:v>1</x:v>
      </x:c>
      <x:c r="W18" s="15" t="str">
        <x:v>Primary comparison</x:v>
      </x:c>
    </x:row>
    <x:row r="19" ht="40.5" customHeight="1">
      <x:c r="A19" s="8" t="str">
        <x:v>Radix/prefix</x:v>
      </x:c>
      <x:c r="B19" s="8" t="str">
        <x:v>50% / Cache on</x:v>
      </x:c>
      <x:c r="C19" s="9" t="b">
        <x:v>1</x:v>
      </x:c>
      <x:c r="D19" s="8" t="str">
        <x:v>s3-cold-PX50-mrr-128_chunk-8192_cache-on</x:v>
      </x:c>
      <x:c r="E19" s="10" t="n">
        <x:v>11.919992320054458</x:v>
      </x:c>
      <x:c r="F19" s="10" t="n">
        <x:v>88.95051286764004</x:v>
      </x:c>
      <x:c r="G19" s="10" t="n">
        <x:v>221.23891338706028</x:v>
      </x:c>
      <x:c r="H19" s="10" t="n">
        <x:v>25.395412423361947</x:v>
      </x:c>
      <x:c r="I19" s="10" t="n">
        <x:v>3400.4773477092385</x:v>
      </x:c>
      <x:c r="J19" s="11" t="n">
        <x:v>0.010869565217391304</x:v>
      </x:c>
      <x:c r="K19" s="10" t="n">
        <x:v>1060.2894302471746</x:v>
      </x:c>
      <x:c r="L19" s="11" t="n">
        <x:v>0.9278508771929825</x:v>
      </x:c>
      <x:c r="M19" s="11" t="n">
        <x:v>0.10866733164534181</x:v>
      </x:c>
      <x:c r="N19" s="11" t="n">
        <x:v>0.4382897525414253</x:v>
      </x:c>
      <x:c r="O19" s="11" t="n">
        <x:v>0.3858695652173913</x:v>
      </x:c>
      <x:c r="P19" s="15" t="str"/>
      <x:c r="Q19" s="16" t="n">
        <x:v>0.10037946701049805</x:v>
      </x:c>
      <x:c r="R19" s="17" t="n">
        <x:v>0.9991758268280944</x:v>
      </x:c>
      <x:c r="S19" s="17" t="n">
        <x:v>0.005666518885067412</x:v>
      </x:c>
      <x:c r="T19" s="18" t="n">
        <x:v>544</x:v>
      </x:c>
      <x:c r="U19" s="18" t="n">
        <x:v>544</x:v>
      </x:c>
      <x:c r="V19" s="17" t="n">
        <x:v>1</x:v>
      </x:c>
      <x:c r="W19" s="15" t="str">
        <x:v>Primary comparison</x:v>
      </x:c>
    </x:row>
    <x:row r="20" ht="40.5" customHeight="1">
      <x:c r="A20" s="8" t="str">
        <x:v>Radix/prefix</x:v>
      </x:c>
      <x:c r="B20" s="8" t="str">
        <x:v>87.5% / Cache on †</x:v>
      </x:c>
      <x:c r="C20" s="9" t="b">
        <x:v>0</x:v>
      </x:c>
      <x:c r="D20" s="8" t="str">
        <x:v>s3-cold-PX87-mrr-128_chunk-8192_cache-on</x:v>
      </x:c>
      <x:c r="E20" s="10" t="n">
        <x:v>11.939282300279753</x:v>
      </x:c>
      <x:c r="F20" s="10" t="n">
        <x:v>72.38799080953879</x:v>
      </x:c>
      <x:c r="G20" s="10" t="n">
        <x:v>210.11657798662787</x:v>
      </x:c>
      <x:c r="H20" s="10" t="n">
        <x:v>20.111568400445655</x:v>
      </x:c>
      <x:c r="I20" s="10" t="n">
        <x:v>2685.4106995277107</x:v>
      </x:c>
      <x:c r="J20" s="11" t="n">
        <x:v>0.01098901098901099</x:v>
      </x:c>
      <x:c r="K20" s="10" t="n">
        <x:v>864.2606574251399</x:v>
      </x:c>
      <x:c r="L20" s="11" t="n">
        <x:v>0.8462527716186253</x:v>
      </x:c>
      <x:c r="M20" s="11" t="n">
        <x:v>0.058895052493452386</x:v>
      </x:c>
      <x:c r="N20" s="11" t="n">
        <x:v>0.3791245638094244</x:v>
      </x:c>
      <x:c r="O20" s="11" t="n">
        <x:v>0.5961538461538461</x:v>
      </x:c>
      <x:c r="P20" s="15" t="str">
        <x:v>Telemetry quality: max gap 0.505 s (&gt;0.25); coverage 99.0%; energy cross-check error 0.78%.</x:v>
      </x:c>
      <x:c r="Q20" s="16" t="n">
        <x:v>0.5048689842224121</x:v>
      </x:c>
      <x:c r="R20" s="17" t="n">
        <x:v>0.9898191759974576</x:v>
      </x:c>
      <x:c r="S20" s="17" t="n">
        <x:v>0.00778767035671887</x:v>
      </x:c>
      <x:c r="T20" s="18" t="n">
        <x:v>544</x:v>
      </x:c>
      <x:c r="U20" s="18" t="n">
        <x:v>544</x:v>
      </x:c>
      <x:c r="V20" s="17" t="n">
        <x:v>1</x:v>
      </x:c>
      <x:c r="W20" s="15" t="str">
        <x:v>Include descriptively; telemetry gap</x:v>
      </x:c>
    </x:row>
  </x:sheetData>
  <x:conditionalFormatting sqref="A2:W20">
    <x:cfRule type="expression" dxfId="0" priority="1">
      <x:formula>$C2=FALSE</x:formula>
    </x:cfRule>
  </x:conditionalFormatting>
  <x:pageMargins left="0.7" right="0.7" top="0.75" bottom="0.75" header="0.3" footer="0.3"/>
</x:worksheet>
</file>